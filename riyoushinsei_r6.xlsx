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activeTab="1"/>
  </bookViews>
  <sheets>
    <sheet name="許可申請書" sheetId="1" r:id="rId1"/>
    <sheet name="許可申請書 (記入例)" sheetId="3" r:id="rId2"/>
    <sheet name="作業用" sheetId="2" r:id="rId3"/>
  </sheets>
  <definedNames>
    <definedName name="_xlnm.Print_Area" localSheetId="0">許可申請書!$A$1:$AA$44</definedName>
    <definedName name="_xlnm.Print_Area" localSheetId="1">'許可申請書 (記入例)'!$A$1:$AA$44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 i="2" l="1"/>
  <c r="D8" i="2"/>
  <c r="D7" i="2"/>
  <c r="D6" i="2"/>
  <c r="L2" i="2"/>
  <c r="K2" i="2"/>
  <c r="J2" i="2"/>
  <c r="G2" i="2"/>
  <c r="F2" i="2"/>
  <c r="X28" i="3"/>
  <c r="E2" i="2"/>
  <c r="D2" i="2"/>
  <c r="C2" i="2"/>
  <c r="X28" i="1"/>
  <c r="M2" i="2" s="1"/>
  <c r="D10" i="2" l="1"/>
  <c r="O2" i="2" l="1"/>
  <c r="N2" i="2"/>
</calcChain>
</file>

<file path=xl/sharedStrings.xml><?xml version="1.0" encoding="utf-8"?>
<sst xmlns="http://schemas.openxmlformats.org/spreadsheetml/2006/main" count="176" uniqueCount="112">
  <si>
    <t>セントラルスクゥエア行為(変更）許可・利用申請書</t>
    <rPh sb="10" eb="12">
      <t>コウイ</t>
    </rPh>
    <rPh sb="13" eb="15">
      <t>ヘンコウ</t>
    </rPh>
    <rPh sb="16" eb="18">
      <t>キョカ</t>
    </rPh>
    <rPh sb="19" eb="21">
      <t>リヨウ</t>
    </rPh>
    <rPh sb="21" eb="24">
      <t>シンセイショ</t>
    </rPh>
    <phoneticPr fontId="1"/>
  </si>
  <si>
    <t>申請先：長野市長、一般社団法人ながの表参道セントラルシティ　代表理事</t>
    <rPh sb="0" eb="2">
      <t>シンセイ</t>
    </rPh>
    <rPh sb="2" eb="3">
      <t>サキ</t>
    </rPh>
    <rPh sb="4" eb="7">
      <t>ナガノシ</t>
    </rPh>
    <rPh sb="7" eb="8">
      <t>チョウ</t>
    </rPh>
    <rPh sb="9" eb="15">
      <t>イッパンシャダンホウジン</t>
    </rPh>
    <rPh sb="18" eb="21">
      <t>オモテサンドウ</t>
    </rPh>
    <rPh sb="30" eb="32">
      <t>ダイヒョウ</t>
    </rPh>
    <rPh sb="32" eb="34">
      <t>リジ</t>
    </rPh>
    <phoneticPr fontId="1"/>
  </si>
  <si>
    <t>申請日：</t>
    <rPh sb="0" eb="2">
      <t>シンセイ</t>
    </rPh>
    <rPh sb="2" eb="3">
      <t>ヒ</t>
    </rPh>
    <phoneticPr fontId="1"/>
  </si>
  <si>
    <t>〒</t>
    <phoneticPr fontId="1"/>
  </si>
  <si>
    <t>住所</t>
    <rPh sb="0" eb="2">
      <t>ジュウショ</t>
    </rPh>
    <phoneticPr fontId="1"/>
  </si>
  <si>
    <t>団体名</t>
    <rPh sb="0" eb="2">
      <t>ダンタイ</t>
    </rPh>
    <rPh sb="2" eb="3">
      <t>メイ</t>
    </rPh>
    <phoneticPr fontId="1"/>
  </si>
  <si>
    <t>申請者</t>
    <rPh sb="0" eb="3">
      <t>シンセイシャ</t>
    </rPh>
    <phoneticPr fontId="1"/>
  </si>
  <si>
    <t>代表者</t>
  </si>
  <si>
    <t>代表者</t>
    <rPh sb="0" eb="3">
      <t>ダイヒョウシャ</t>
    </rPh>
    <phoneticPr fontId="1"/>
  </si>
  <si>
    <t>役職</t>
    <rPh sb="0" eb="2">
      <t>ヤクショク</t>
    </rPh>
    <phoneticPr fontId="1"/>
  </si>
  <si>
    <t>氏名</t>
    <rPh sb="0" eb="2">
      <t>シメイ</t>
    </rPh>
    <phoneticPr fontId="1"/>
  </si>
  <si>
    <t>担当者氏名</t>
    <rPh sb="0" eb="3">
      <t>タントウシャ</t>
    </rPh>
    <rPh sb="3" eb="5">
      <t>シメイ</t>
    </rPh>
    <phoneticPr fontId="1"/>
  </si>
  <si>
    <t>連絡先　</t>
    <rPh sb="0" eb="2">
      <t>レンラク</t>
    </rPh>
    <rPh sb="2" eb="3">
      <t>サキ</t>
    </rPh>
    <phoneticPr fontId="1"/>
  </si>
  <si>
    <t>(電話)</t>
    <rPh sb="1" eb="3">
      <t>デンワ</t>
    </rPh>
    <phoneticPr fontId="1"/>
  </si>
  <si>
    <t>行為の目的
・催しのタイトル
・催しの目的　等</t>
    <rPh sb="0" eb="2">
      <t>コウイ</t>
    </rPh>
    <rPh sb="3" eb="5">
      <t>モクテキ</t>
    </rPh>
    <rPh sb="7" eb="8">
      <t>モヨオ</t>
    </rPh>
    <rPh sb="16" eb="17">
      <t>モヨオ</t>
    </rPh>
    <rPh sb="19" eb="21">
      <t>モクテキ</t>
    </rPh>
    <rPh sb="22" eb="23">
      <t>ナド</t>
    </rPh>
    <phoneticPr fontId="1"/>
  </si>
  <si>
    <t>次のとおり、都市公園内での行為について、長野市都市公園条例第3条第1項(第3項）の規定に</t>
    <rPh sb="0" eb="1">
      <t>ツギ</t>
    </rPh>
    <rPh sb="6" eb="8">
      <t>トシ</t>
    </rPh>
    <rPh sb="8" eb="10">
      <t>コウエン</t>
    </rPh>
    <rPh sb="10" eb="11">
      <t>ナイ</t>
    </rPh>
    <rPh sb="13" eb="15">
      <t>コウイ</t>
    </rPh>
    <rPh sb="20" eb="23">
      <t>ナガノシ</t>
    </rPh>
    <rPh sb="23" eb="25">
      <t>トシ</t>
    </rPh>
    <rPh sb="25" eb="27">
      <t>コウエン</t>
    </rPh>
    <rPh sb="27" eb="29">
      <t>ジョウレイ</t>
    </rPh>
    <rPh sb="29" eb="30">
      <t>ダイ</t>
    </rPh>
    <rPh sb="31" eb="32">
      <t>ジョウ</t>
    </rPh>
    <rPh sb="32" eb="33">
      <t>ダイ</t>
    </rPh>
    <rPh sb="34" eb="35">
      <t>コウ</t>
    </rPh>
    <rPh sb="36" eb="37">
      <t>ダイ</t>
    </rPh>
    <rPh sb="38" eb="39">
      <t>コウ</t>
    </rPh>
    <rPh sb="41" eb="43">
      <t>キテイ</t>
    </rPh>
    <phoneticPr fontId="1"/>
  </si>
  <si>
    <t>よる許可を受けたいので申請します。また、多目的広場の利用についても併せて申請します。</t>
    <rPh sb="2" eb="4">
      <t>キョカ</t>
    </rPh>
    <rPh sb="5" eb="6">
      <t>ウ</t>
    </rPh>
    <rPh sb="11" eb="13">
      <t>シンセイ</t>
    </rPh>
    <rPh sb="20" eb="23">
      <t>タモクテキ</t>
    </rPh>
    <rPh sb="23" eb="25">
      <t>ヒロバ</t>
    </rPh>
    <rPh sb="26" eb="28">
      <t>リヨウ</t>
    </rPh>
    <phoneticPr fontId="1"/>
  </si>
  <si>
    <t>行為の期間</t>
    <rPh sb="0" eb="2">
      <t>コウイ</t>
    </rPh>
    <rPh sb="3" eb="5">
      <t>キカン</t>
    </rPh>
    <phoneticPr fontId="1"/>
  </si>
  <si>
    <t>(準備～撤去)</t>
    <rPh sb="1" eb="3">
      <t>ジュンビ</t>
    </rPh>
    <rPh sb="4" eb="6">
      <t>テッキョ</t>
    </rPh>
    <phoneticPr fontId="1"/>
  </si>
  <si>
    <t>(開催)</t>
    <rPh sb="1" eb="3">
      <t>カイサイ</t>
    </rPh>
    <phoneticPr fontId="1"/>
  </si>
  <si>
    <t>A</t>
    <phoneticPr fontId="1"/>
  </si>
  <si>
    <t>セントラルステージ　253㎡</t>
    <phoneticPr fontId="1"/>
  </si>
  <si>
    <t>B</t>
    <phoneticPr fontId="1"/>
  </si>
  <si>
    <t>C</t>
    <phoneticPr fontId="1"/>
  </si>
  <si>
    <t>にぎわい広場　727㎡</t>
    <rPh sb="4" eb="6">
      <t>ヒロバ</t>
    </rPh>
    <phoneticPr fontId="1"/>
  </si>
  <si>
    <t>D</t>
    <phoneticPr fontId="1"/>
  </si>
  <si>
    <t>芝生広場　700㎡</t>
    <rPh sb="0" eb="2">
      <t>シバフ</t>
    </rPh>
    <rPh sb="2" eb="4">
      <t>ヒロバ</t>
    </rPh>
    <phoneticPr fontId="1"/>
  </si>
  <si>
    <t>E</t>
    <phoneticPr fontId="1"/>
  </si>
  <si>
    <t>多目的広場　900㎡</t>
    <rPh sb="0" eb="3">
      <t>タモクテキ</t>
    </rPh>
    <rPh sb="3" eb="5">
      <t>ヒロバ</t>
    </rPh>
    <phoneticPr fontId="1"/>
  </si>
  <si>
    <t>全エリア　2,580㎡</t>
    <rPh sb="0" eb="1">
      <t>ゼン</t>
    </rPh>
    <phoneticPr fontId="1"/>
  </si>
  <si>
    <t>　</t>
    <phoneticPr fontId="1"/>
  </si>
  <si>
    <t>※「E 全エリアを選択した場合は、</t>
    <rPh sb="4" eb="5">
      <t>ゼン</t>
    </rPh>
    <rPh sb="9" eb="11">
      <t>センタク</t>
    </rPh>
    <rPh sb="13" eb="15">
      <t>バアイ</t>
    </rPh>
    <phoneticPr fontId="1"/>
  </si>
  <si>
    <t>他のエリアの選択は不要です。</t>
    <rPh sb="6" eb="8">
      <t>センタク</t>
    </rPh>
    <rPh sb="9" eb="11">
      <t>フヨウ</t>
    </rPh>
    <phoneticPr fontId="1"/>
  </si>
  <si>
    <r>
      <rPr>
        <sz val="10"/>
        <color theme="1"/>
        <rFont val="游ゴシック"/>
        <family val="3"/>
        <charset val="128"/>
        <scheme val="minor"/>
      </rPr>
      <t>行為の場所</t>
    </r>
    <r>
      <rPr>
        <sz val="8"/>
        <color theme="1"/>
        <rFont val="游ゴシック"/>
        <family val="2"/>
        <scheme val="minor"/>
      </rPr>
      <t xml:space="preserve">
(利用するエリア
を選択してください）</t>
    </r>
    <rPh sb="0" eb="2">
      <t>コウイ</t>
    </rPh>
    <rPh sb="3" eb="5">
      <t>バショ</t>
    </rPh>
    <rPh sb="7" eb="9">
      <t>リヨウ</t>
    </rPh>
    <rPh sb="16" eb="18">
      <t>センタク</t>
    </rPh>
    <phoneticPr fontId="1"/>
  </si>
  <si>
    <t>利用人数</t>
    <rPh sb="0" eb="2">
      <t>リヨウ</t>
    </rPh>
    <rPh sb="2" eb="4">
      <t>ニンズウ</t>
    </rPh>
    <phoneticPr fontId="1"/>
  </si>
  <si>
    <t>関係者</t>
    <rPh sb="0" eb="3">
      <t>カンケイシャ</t>
    </rPh>
    <phoneticPr fontId="1"/>
  </si>
  <si>
    <t>人</t>
    <rPh sb="0" eb="1">
      <t>ニン</t>
    </rPh>
    <phoneticPr fontId="1"/>
  </si>
  <si>
    <t>動員見込</t>
    <rPh sb="0" eb="2">
      <t>ドウイン</t>
    </rPh>
    <rPh sb="2" eb="4">
      <t>ミコミ</t>
    </rPh>
    <phoneticPr fontId="1"/>
  </si>
  <si>
    <t>行為の内容
(何をするか
具体的に）</t>
    <rPh sb="0" eb="2">
      <t>コウイ</t>
    </rPh>
    <rPh sb="3" eb="5">
      <t>ナイヨウ</t>
    </rPh>
    <rPh sb="7" eb="8">
      <t>ナニ</t>
    </rPh>
    <rPh sb="13" eb="16">
      <t>グタイテキ</t>
    </rPh>
    <phoneticPr fontId="1"/>
  </si>
  <si>
    <t>電気・水道の使用</t>
    <rPh sb="0" eb="2">
      <t>デンキ</t>
    </rPh>
    <rPh sb="3" eb="5">
      <t>スイドウ</t>
    </rPh>
    <rPh sb="6" eb="8">
      <t>シヨウ</t>
    </rPh>
    <phoneticPr fontId="1"/>
  </si>
  <si>
    <t>マイクスタンド（４セットまで）</t>
    <phoneticPr fontId="1"/>
  </si>
  <si>
    <t>セット</t>
    <phoneticPr fontId="1"/>
  </si>
  <si>
    <t>CDプレーヤー</t>
    <phoneticPr fontId="1"/>
  </si>
  <si>
    <t>ステージ裏管理室</t>
    <rPh sb="4" eb="5">
      <t>ウラ</t>
    </rPh>
    <rPh sb="5" eb="7">
      <t>カンリ</t>
    </rPh>
    <rPh sb="7" eb="8">
      <t>シツ</t>
    </rPh>
    <phoneticPr fontId="1"/>
  </si>
  <si>
    <t>（以上は無料でお使いいただけます）</t>
    <rPh sb="1" eb="3">
      <t>イジョウ</t>
    </rPh>
    <rPh sb="4" eb="6">
      <t>ムリョウ</t>
    </rPh>
    <rPh sb="8" eb="9">
      <t>ツカ</t>
    </rPh>
    <phoneticPr fontId="1"/>
  </si>
  <si>
    <t>デジタル騒音計※</t>
    <rPh sb="4" eb="7">
      <t>ソウオンケイ</t>
    </rPh>
    <phoneticPr fontId="1"/>
  </si>
  <si>
    <t>防振マット※</t>
    <rPh sb="0" eb="2">
      <t>ボウシン</t>
    </rPh>
    <phoneticPr fontId="1"/>
  </si>
  <si>
    <t>都市公園の
復旧方法</t>
    <rPh sb="0" eb="2">
      <t>トシ</t>
    </rPh>
    <rPh sb="2" eb="4">
      <t>コウエン</t>
    </rPh>
    <rPh sb="6" eb="8">
      <t>フッキュウ</t>
    </rPh>
    <rPh sb="8" eb="10">
      <t>ホウホウ</t>
    </rPh>
    <phoneticPr fontId="1"/>
  </si>
  <si>
    <t>※実施要領(企画書・チラシ等）と平面図を併せて、ご提出ください。</t>
    <rPh sb="1" eb="3">
      <t>ジッシ</t>
    </rPh>
    <rPh sb="3" eb="5">
      <t>ヨウリョウ</t>
    </rPh>
    <rPh sb="6" eb="9">
      <t>キカクショ</t>
    </rPh>
    <rPh sb="13" eb="14">
      <t>ナド</t>
    </rPh>
    <rPh sb="16" eb="19">
      <t>ヘイメンズ</t>
    </rPh>
    <rPh sb="20" eb="21">
      <t>アワ</t>
    </rPh>
    <rPh sb="25" eb="27">
      <t>テイシュツ</t>
    </rPh>
    <phoneticPr fontId="1"/>
  </si>
  <si>
    <t>No.</t>
  </si>
  <si>
    <t>指令番号</t>
    <rPh sb="2" eb="4">
      <t>バンゴウ</t>
    </rPh>
    <phoneticPr fontId="6"/>
  </si>
  <si>
    <t>所　　　　　在</t>
    <phoneticPr fontId="7"/>
  </si>
  <si>
    <t>団　　体</t>
    <rPh sb="0" eb="1">
      <t>ダン</t>
    </rPh>
    <rPh sb="3" eb="4">
      <t>カラダ</t>
    </rPh>
    <phoneticPr fontId="6"/>
  </si>
  <si>
    <t>役職</t>
    <rPh sb="0" eb="2">
      <t>ヤクショク</t>
    </rPh>
    <phoneticPr fontId="6"/>
  </si>
  <si>
    <t>申請日</t>
    <rPh sb="0" eb="2">
      <t>シンセイ</t>
    </rPh>
    <phoneticPr fontId="7"/>
  </si>
  <si>
    <t>許可日</t>
  </si>
  <si>
    <t>公園名</t>
    <phoneticPr fontId="7"/>
  </si>
  <si>
    <t>行為の目的</t>
  </si>
  <si>
    <t>期　　　　　間</t>
    <phoneticPr fontId="7"/>
  </si>
  <si>
    <t>行為の内容</t>
  </si>
  <si>
    <t>人数</t>
    <rPh sb="0" eb="2">
      <t>ニンズウ</t>
    </rPh>
    <phoneticPr fontId="6"/>
  </si>
  <si>
    <t>面積</t>
    <rPh sb="0" eb="2">
      <t>メンセキ</t>
    </rPh>
    <phoneticPr fontId="6"/>
  </si>
  <si>
    <t>使用料</t>
  </si>
  <si>
    <t>許可条件１</t>
    <rPh sb="0" eb="2">
      <t>キョカ</t>
    </rPh>
    <rPh sb="2" eb="4">
      <t>ジョウケン</t>
    </rPh>
    <phoneticPr fontId="6"/>
  </si>
  <si>
    <t>許可条件２</t>
    <rPh sb="0" eb="2">
      <t>キョカ</t>
    </rPh>
    <rPh sb="2" eb="4">
      <t>ジョウケン</t>
    </rPh>
    <phoneticPr fontId="6"/>
  </si>
  <si>
    <t>許可条件３</t>
    <rPh sb="0" eb="2">
      <t>キョカ</t>
    </rPh>
    <rPh sb="2" eb="4">
      <t>ジョウケン</t>
    </rPh>
    <phoneticPr fontId="6"/>
  </si>
  <si>
    <t>許可条件４</t>
    <rPh sb="0" eb="2">
      <t>キョカ</t>
    </rPh>
    <rPh sb="2" eb="4">
      <t>ジョウケン</t>
    </rPh>
    <phoneticPr fontId="6"/>
  </si>
  <si>
    <t>許可条件５</t>
    <rPh sb="0" eb="2">
      <t>キョカ</t>
    </rPh>
    <rPh sb="2" eb="4">
      <t>ジョウケン</t>
    </rPh>
    <phoneticPr fontId="6"/>
  </si>
  <si>
    <t>許可条件６</t>
    <rPh sb="0" eb="2">
      <t>キョカ</t>
    </rPh>
    <rPh sb="2" eb="4">
      <t>ジョウケン</t>
    </rPh>
    <phoneticPr fontId="6"/>
  </si>
  <si>
    <t>許可条件７</t>
    <rPh sb="0" eb="2">
      <t>キョカ</t>
    </rPh>
    <rPh sb="2" eb="4">
      <t>ジョウケン</t>
    </rPh>
    <phoneticPr fontId="6"/>
  </si>
  <si>
    <t>許可条件８</t>
    <rPh sb="0" eb="2">
      <t>キョカ</t>
    </rPh>
    <rPh sb="2" eb="4">
      <t>ジョウケン</t>
    </rPh>
    <phoneticPr fontId="6"/>
  </si>
  <si>
    <t>備考</t>
    <rPh sb="0" eb="2">
      <t>ビコウ</t>
    </rPh>
    <phoneticPr fontId="6"/>
  </si>
  <si>
    <t>許可書発送チェック</t>
    <rPh sb="0" eb="2">
      <t>キョカ</t>
    </rPh>
    <rPh sb="2" eb="3">
      <t>ショ</t>
    </rPh>
    <rPh sb="3" eb="5">
      <t>ハッソウ</t>
    </rPh>
    <phoneticPr fontId="7"/>
  </si>
  <si>
    <t>NPO等へのFAX等チェック</t>
    <rPh sb="3" eb="4">
      <t>トウ</t>
    </rPh>
    <rPh sb="9" eb="10">
      <t>トウ</t>
    </rPh>
    <phoneticPr fontId="7"/>
  </si>
  <si>
    <t>物販の有無</t>
    <rPh sb="0" eb="2">
      <t>ブッパン</t>
    </rPh>
    <rPh sb="3" eb="5">
      <t>ウム</t>
    </rPh>
    <phoneticPr fontId="7"/>
  </si>
  <si>
    <t>占有許可申請</t>
    <rPh sb="0" eb="2">
      <t>センユウ</t>
    </rPh>
    <rPh sb="2" eb="4">
      <t>キョカ</t>
    </rPh>
    <rPh sb="4" eb="6">
      <t>シンセイ</t>
    </rPh>
    <phoneticPr fontId="7"/>
  </si>
  <si>
    <t>備考</t>
    <rPh sb="0" eb="2">
      <t>ビコウ</t>
    </rPh>
    <phoneticPr fontId="7"/>
  </si>
  <si>
    <t>人数</t>
    <rPh sb="0" eb="2">
      <t>ニンズウ</t>
    </rPh>
    <phoneticPr fontId="7"/>
  </si>
  <si>
    <t>イベント日数</t>
    <rPh sb="4" eb="6">
      <t>ニッスウ</t>
    </rPh>
    <phoneticPr fontId="7"/>
  </si>
  <si>
    <t>長野　太郎</t>
    <rPh sb="0" eb="2">
      <t>ナガノ</t>
    </rPh>
    <rPh sb="3" eb="5">
      <t>タロウ</t>
    </rPh>
    <phoneticPr fontId="1"/>
  </si>
  <si>
    <t>長野　次郎</t>
    <rPh sb="0" eb="2">
      <t>ナガノ</t>
    </rPh>
    <rPh sb="3" eb="5">
      <t>ジロウ</t>
    </rPh>
    <phoneticPr fontId="1"/>
  </si>
  <si>
    <t>026-224-5053</t>
    <phoneticPr fontId="1"/>
  </si>
  <si>
    <t>令和６年４月１日(月)10時00分～令和６年４月２日(火)17時00分まで　</t>
    <rPh sb="0" eb="2">
      <t>レイワ</t>
    </rPh>
    <rPh sb="3" eb="4">
      <t>ネン</t>
    </rPh>
    <rPh sb="5" eb="6">
      <t>ガツ</t>
    </rPh>
    <rPh sb="7" eb="8">
      <t>ニチ</t>
    </rPh>
    <rPh sb="9" eb="10">
      <t>ゲツ</t>
    </rPh>
    <rPh sb="13" eb="14">
      <t>ジ</t>
    </rPh>
    <rPh sb="16" eb="17">
      <t>フン</t>
    </rPh>
    <rPh sb="18" eb="20">
      <t>レイワ</t>
    </rPh>
    <rPh sb="21" eb="22">
      <t>ネン</t>
    </rPh>
    <rPh sb="23" eb="24">
      <t>ガツ</t>
    </rPh>
    <rPh sb="25" eb="26">
      <t>ニチ</t>
    </rPh>
    <rPh sb="27" eb="28">
      <t>カ</t>
    </rPh>
    <rPh sb="31" eb="32">
      <t>ジ</t>
    </rPh>
    <rPh sb="34" eb="35">
      <t>フン</t>
    </rPh>
    <phoneticPr fontId="1"/>
  </si>
  <si>
    <t>令和６年４月2日(火)10時00分～令和６年４月２日(火)17時00分まで　</t>
    <rPh sb="0" eb="2">
      <t>レイワ</t>
    </rPh>
    <rPh sb="3" eb="4">
      <t>ネン</t>
    </rPh>
    <rPh sb="5" eb="6">
      <t>ガツ</t>
    </rPh>
    <rPh sb="7" eb="8">
      <t>ニチ</t>
    </rPh>
    <rPh sb="9" eb="10">
      <t>カ</t>
    </rPh>
    <rPh sb="13" eb="14">
      <t>ジ</t>
    </rPh>
    <rPh sb="16" eb="17">
      <t>フン</t>
    </rPh>
    <rPh sb="18" eb="20">
      <t>レイワ</t>
    </rPh>
    <rPh sb="21" eb="22">
      <t>ネン</t>
    </rPh>
    <rPh sb="23" eb="24">
      <t>ガツ</t>
    </rPh>
    <rPh sb="25" eb="26">
      <t>ニチ</t>
    </rPh>
    <rPh sb="27" eb="28">
      <t>カ</t>
    </rPh>
    <rPh sb="31" eb="32">
      <t>ジ</t>
    </rPh>
    <rPh sb="34" eb="35">
      <t>フン</t>
    </rPh>
    <phoneticPr fontId="1"/>
  </si>
  <si>
    <t>合計　</t>
    <rPh sb="0" eb="2">
      <t>ゴウケイ</t>
    </rPh>
    <phoneticPr fontId="1"/>
  </si>
  <si>
    <t>キッチンカーでの販売及びステージ発表</t>
    <rPh sb="8" eb="10">
      <t>ハンバイ</t>
    </rPh>
    <rPh sb="10" eb="11">
      <t>オヨ</t>
    </rPh>
    <rPh sb="16" eb="18">
      <t>ハッピョウ</t>
    </rPh>
    <phoneticPr fontId="1"/>
  </si>
  <si>
    <t>セントラルスクゥエア</t>
    <phoneticPr fontId="1"/>
  </si>
  <si>
    <t>面積計算</t>
    <rPh sb="0" eb="2">
      <t>メンセキ</t>
    </rPh>
    <rPh sb="2" eb="4">
      <t>ケイサン</t>
    </rPh>
    <phoneticPr fontId="1"/>
  </si>
  <si>
    <t>合計</t>
    <rPh sb="0" eb="2">
      <t>ゴウケイ</t>
    </rPh>
    <phoneticPr fontId="1"/>
  </si>
  <si>
    <t>ア　申請者おいて清掃後、ゴミは持ち帰ること。</t>
    <rPh sb="2" eb="5">
      <t>シンセイシャ</t>
    </rPh>
    <rPh sb="8" eb="10">
      <t>セイソウ</t>
    </rPh>
    <rPh sb="10" eb="11">
      <t>ゴ</t>
    </rPh>
    <rPh sb="15" eb="16">
      <t>モ</t>
    </rPh>
    <rPh sb="17" eb="18">
      <t>カエ</t>
    </rPh>
    <phoneticPr fontId="7"/>
  </si>
  <si>
    <t>イ　原状回復すること。</t>
    <rPh sb="2" eb="4">
      <t>ゲンジョウ</t>
    </rPh>
    <rPh sb="4" eb="6">
      <t>カイフク</t>
    </rPh>
    <phoneticPr fontId="7"/>
  </si>
  <si>
    <t>ウ　材料の搬入時等、公園施設を傷つけないよう対策を講じること。損傷した際は、速やかに復旧すること。</t>
    <phoneticPr fontId="6"/>
  </si>
  <si>
    <t>エ　他の公園利用者及び周辺住民に迷惑のかからないよう配慮すること。</t>
    <rPh sb="2" eb="3">
      <t>タ</t>
    </rPh>
    <rPh sb="4" eb="6">
      <t>コウエン</t>
    </rPh>
    <rPh sb="6" eb="9">
      <t>リヨウシャ</t>
    </rPh>
    <rPh sb="9" eb="10">
      <t>オヨ</t>
    </rPh>
    <rPh sb="11" eb="13">
      <t>シュウヘン</t>
    </rPh>
    <rPh sb="13" eb="15">
      <t>ジュウミン</t>
    </rPh>
    <rPh sb="16" eb="18">
      <t>メイワク</t>
    </rPh>
    <rPh sb="26" eb="28">
      <t>ハイリョ</t>
    </rPh>
    <phoneticPr fontId="6"/>
  </si>
  <si>
    <t>オ　セントラルスクゥエア使用規定に違反していると認められる場合は、イベントを中止していただく場合があります。</t>
    <rPh sb="12" eb="14">
      <t>シヨウ</t>
    </rPh>
    <rPh sb="14" eb="16">
      <t>キテイ</t>
    </rPh>
    <rPh sb="17" eb="19">
      <t>イハン</t>
    </rPh>
    <rPh sb="24" eb="25">
      <t>ミト</t>
    </rPh>
    <rPh sb="29" eb="31">
      <t>バアイ</t>
    </rPh>
    <rPh sb="38" eb="40">
      <t>チュウシ</t>
    </rPh>
    <rPh sb="46" eb="48">
      <t>バアイ</t>
    </rPh>
    <phoneticPr fontId="7"/>
  </si>
  <si>
    <t>申請者において清掃後、ゴミは持ち帰る。その他、現状に復する。</t>
    <rPh sb="0" eb="3">
      <t>シンセイシャ</t>
    </rPh>
    <rPh sb="7" eb="9">
      <t>セイソウ</t>
    </rPh>
    <rPh sb="9" eb="10">
      <t>ゴ</t>
    </rPh>
    <rPh sb="14" eb="15">
      <t>モ</t>
    </rPh>
    <rPh sb="16" eb="17">
      <t>カエ</t>
    </rPh>
    <rPh sb="21" eb="22">
      <t>タ</t>
    </rPh>
    <rPh sb="23" eb="25">
      <t>ゲンジョウ</t>
    </rPh>
    <rPh sb="26" eb="27">
      <t>フク</t>
    </rPh>
    <phoneticPr fontId="1"/>
  </si>
  <si>
    <t>※太枠内を記入してください。</t>
    <rPh sb="1" eb="3">
      <t>フトワク</t>
    </rPh>
    <rPh sb="3" eb="4">
      <t>ナイ</t>
    </rPh>
    <rPh sb="5" eb="7">
      <t>キニュウ</t>
    </rPh>
    <phoneticPr fontId="1"/>
  </si>
  <si>
    <t>中心市街地の活性化を目的として、「〇〇フェスティバル」を実施する。</t>
    <rPh sb="0" eb="2">
      <t>チュウシン</t>
    </rPh>
    <rPh sb="2" eb="5">
      <t>シガイチ</t>
    </rPh>
    <rPh sb="6" eb="9">
      <t>カッセイカ</t>
    </rPh>
    <rPh sb="10" eb="12">
      <t>モクテキ</t>
    </rPh>
    <rPh sb="28" eb="30">
      <t>ジッシ</t>
    </rPh>
    <phoneticPr fontId="1"/>
  </si>
  <si>
    <t>電気</t>
    <rPh sb="0" eb="2">
      <t>デンキ</t>
    </rPh>
    <phoneticPr fontId="1"/>
  </si>
  <si>
    <t>水道</t>
    <rPh sb="0" eb="2">
      <t>スイドウ</t>
    </rPh>
    <phoneticPr fontId="1"/>
  </si>
  <si>
    <t>（無料）</t>
    <rPh sb="1" eb="3">
      <t>ムリョウ</t>
    </rPh>
    <phoneticPr fontId="1"/>
  </si>
  <si>
    <t>排水トラップ（有料）</t>
    <rPh sb="0" eb="2">
      <t>ハイスイ</t>
    </rPh>
    <rPh sb="7" eb="9">
      <t>ユウリョウ</t>
    </rPh>
    <phoneticPr fontId="1"/>
  </si>
  <si>
    <t>〇〇株式会社</t>
    <rPh sb="2" eb="4">
      <t>カブシキ</t>
    </rPh>
    <rPh sb="4" eb="6">
      <t>カイシャ</t>
    </rPh>
    <phoneticPr fontId="1"/>
  </si>
  <si>
    <t>代表取締役</t>
    <rPh sb="0" eb="2">
      <t>ダイヒョウ</t>
    </rPh>
    <rPh sb="2" eb="5">
      <t>トリシマリヤク</t>
    </rPh>
    <phoneticPr fontId="1"/>
  </si>
  <si>
    <t>申請日</t>
    <rPh sb="0" eb="2">
      <t>シンセイ</t>
    </rPh>
    <rPh sb="2" eb="3">
      <t>ヒ</t>
    </rPh>
    <phoneticPr fontId="1"/>
  </si>
  <si>
    <t>次のとおり、セントラルスクゥエア内での行為について、長野市都市公園条例第3条第1項(第3項）</t>
    <rPh sb="0" eb="1">
      <t>ツギ</t>
    </rPh>
    <rPh sb="16" eb="17">
      <t>ナイ</t>
    </rPh>
    <rPh sb="17" eb="18">
      <t>トナイ</t>
    </rPh>
    <rPh sb="19" eb="21">
      <t>コウイ</t>
    </rPh>
    <rPh sb="26" eb="29">
      <t>ナガノシ</t>
    </rPh>
    <rPh sb="29" eb="31">
      <t>トシ</t>
    </rPh>
    <rPh sb="31" eb="33">
      <t>コウエン</t>
    </rPh>
    <rPh sb="33" eb="35">
      <t>ジョウレイ</t>
    </rPh>
    <rPh sb="35" eb="36">
      <t>ダイ</t>
    </rPh>
    <rPh sb="37" eb="38">
      <t>ジョウ</t>
    </rPh>
    <rPh sb="38" eb="39">
      <t>ダイ</t>
    </rPh>
    <rPh sb="40" eb="41">
      <t>コウ</t>
    </rPh>
    <rPh sb="42" eb="43">
      <t>ダイ</t>
    </rPh>
    <rPh sb="44" eb="45">
      <t>コウ</t>
    </rPh>
    <phoneticPr fontId="1"/>
  </si>
  <si>
    <t>の規定による許可を受けたいので申請します。また、多目的広場の利用についても併せて申請します。</t>
    <rPh sb="6" eb="8">
      <t>キョカ</t>
    </rPh>
    <rPh sb="9" eb="10">
      <t>ウ</t>
    </rPh>
    <rPh sb="15" eb="17">
      <t>シンセイ</t>
    </rPh>
    <rPh sb="24" eb="27">
      <t>タモクテキ</t>
    </rPh>
    <rPh sb="27" eb="29">
      <t>ヒロバ</t>
    </rPh>
    <rPh sb="30" eb="32">
      <t>リヨウ</t>
    </rPh>
    <phoneticPr fontId="1"/>
  </si>
  <si>
    <t>申請者において清掃後、ゴミは持ち帰る。その他、原状に復する。</t>
    <rPh sb="0" eb="3">
      <t>シンセイシャ</t>
    </rPh>
    <rPh sb="7" eb="9">
      <t>セイソウ</t>
    </rPh>
    <rPh sb="9" eb="10">
      <t>ゴ</t>
    </rPh>
    <rPh sb="14" eb="15">
      <t>モ</t>
    </rPh>
    <rPh sb="16" eb="17">
      <t>カエ</t>
    </rPh>
    <rPh sb="21" eb="22">
      <t>タ</t>
    </rPh>
    <rPh sb="23" eb="25">
      <t>ゲンジョウ</t>
    </rPh>
    <rPh sb="26" eb="27">
      <t>フク</t>
    </rPh>
    <phoneticPr fontId="1"/>
  </si>
  <si>
    <t>令和　年　月　日(　)　時　分～令和　年　月　日(　)　時　分まで　</t>
    <rPh sb="0" eb="2">
      <t>レイワ</t>
    </rPh>
    <rPh sb="3" eb="4">
      <t>ネン</t>
    </rPh>
    <rPh sb="5" eb="6">
      <t>ガツ</t>
    </rPh>
    <rPh sb="7" eb="8">
      <t>ニチ</t>
    </rPh>
    <rPh sb="12" eb="13">
      <t>ジ</t>
    </rPh>
    <rPh sb="14" eb="15">
      <t>フン</t>
    </rPh>
    <rPh sb="16" eb="18">
      <t>レイワ</t>
    </rPh>
    <rPh sb="19" eb="20">
      <t>ネン</t>
    </rPh>
    <rPh sb="21" eb="22">
      <t>ガツ</t>
    </rPh>
    <rPh sb="23" eb="24">
      <t>ニチ</t>
    </rPh>
    <rPh sb="28" eb="29">
      <t>ジ</t>
    </rPh>
    <rPh sb="30" eb="31">
      <t>フン</t>
    </rPh>
    <phoneticPr fontId="1"/>
  </si>
  <si>
    <t>長野市大字鶴賀緑町1613番地</t>
    <rPh sb="0" eb="3">
      <t>ナガノシ</t>
    </rPh>
    <rPh sb="3" eb="5">
      <t>オオアザ</t>
    </rPh>
    <rPh sb="5" eb="7">
      <t>ツルガ</t>
    </rPh>
    <rPh sb="7" eb="8">
      <t>ミドリ</t>
    </rPh>
    <rPh sb="8" eb="9">
      <t>マチ</t>
    </rPh>
    <rPh sb="13" eb="15">
      <t>バンチ</t>
    </rPh>
    <phoneticPr fontId="1"/>
  </si>
  <si>
    <t>380-8512</t>
    <phoneticPr fontId="1"/>
  </si>
  <si>
    <t>備品類の使用
※は音響機器を使うイベントは必ず使用してください。</t>
    <rPh sb="0" eb="2">
      <t>ビヒン</t>
    </rPh>
    <rPh sb="2" eb="3">
      <t>ルイ</t>
    </rPh>
    <rPh sb="4" eb="6">
      <t>シヨウ</t>
    </rPh>
    <rPh sb="9" eb="11">
      <t>オンキョウ</t>
    </rPh>
    <rPh sb="11" eb="13">
      <t>キキ</t>
    </rPh>
    <rPh sb="14" eb="15">
      <t>ツカ</t>
    </rPh>
    <rPh sb="21" eb="22">
      <t>カナラ</t>
    </rPh>
    <rPh sb="23" eb="25">
      <t>シヨウ</t>
    </rPh>
    <phoneticPr fontId="1"/>
  </si>
  <si>
    <t>吊下げバトン</t>
    <rPh sb="0" eb="2">
      <t>ツリサ</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</si>
</sst>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411]ggge&quot;年&quot;m&quot;月&quot;d&quot;日&quot;;@"/>
    <numFmt numFmtId="177" formatCode="[$-411]ge\.m\.d;@"/>
  </numFmts>
  <fonts count="13" x14ac:knownFonts="1">
    <font>
      <sz val="11"/>
      <color theme="1"/>
      <name val="游ゴシック"/>
      <family val="2"/>
      <scheme val="minor"/>
    </font>
    <font>
      <sz val="6"/>
      <name val="游ゴシック"/>
      <family val="3"/>
      <charset val="128"/>
      <scheme val="minor"/>
    </font>
    <font>
      <sz val="8"/>
      <color theme="1"/>
      <name val="游ゴシック"/>
      <family val="2"/>
      <scheme val="minor"/>
    </font>
    <font>
      <sz val="8"/>
      <color theme="1"/>
      <name val="游ゴシック"/>
      <family val="3"/>
      <charset val="128"/>
      <scheme val="minor"/>
    </font>
    <font>
      <sz val="10"/>
      <color theme="1"/>
      <name val="游ゴシック"/>
      <family val="2"/>
      <scheme val="minor"/>
    </font>
    <font>
      <sz val="10"/>
      <color theme="1"/>
      <name val="游ゴシック"/>
      <family val="3"/>
      <charset val="128"/>
      <scheme val="minor"/>
    </font>
    <font>
      <sz val="11"/>
      <name val="ＭＳ Ｐゴシック"/>
      <family val="3"/>
      <charset val="128"/>
    </font>
    <font>
      <sz val="6"/>
      <name val="ＭＳ Ｐゴシック"/>
      <family val="3"/>
      <charset val="128"/>
    </font>
    <font>
      <b/>
      <sz val="11"/>
      <color theme="0"/>
      <name val="ＭＳ Ｐゴシック"/>
      <family val="3"/>
      <charset val="128"/>
    </font>
    <font>
      <b/>
      <sz val="11"/>
      <color theme="1"/>
      <name val="游ゴシック"/>
      <family val="3"/>
      <charset val="128"/>
      <scheme val="minor"/>
    </font>
    <font>
      <b/>
      <sz val="10"/>
      <color theme="1"/>
      <name val="游ゴシック"/>
      <family val="3"/>
      <charset val="128"/>
      <scheme val="minor"/>
    </font>
    <font>
      <sz val="9"/>
      <color theme="1"/>
      <name val="游ゴシック"/>
      <family val="2"/>
      <scheme val="minor"/>
    </font>
    <font>
      <sz val="9"/>
      <color theme="1"/>
      <name val="游ゴシック"/>
      <family val="3"/>
      <charset val="128"/>
      <scheme val="minor"/>
    </font>
  </fonts>
  <fills count="4">
    <fill>
      <patternFill patternType="none"/>
    </fill>
    <fill>
      <patternFill patternType="gray125"/>
    </fill>
    <fill>
      <patternFill patternType="solid">
        <fgColor rgb="FFFFC000"/>
        <bgColor indexed="64"/>
      </patternFill>
    </fill>
    <fill>
      <patternFill patternType="solid">
        <fgColor rgb="FFFF0000"/>
        <bgColor indexed="64"/>
      </patternFill>
    </fill>
  </fills>
  <borders count="41">
    <border>
      <left/>
      <right/>
      <top/>
      <bottom/>
      <diagonal/>
    </border>
    <border>
      <left/>
      <right/>
      <top/>
      <bottom style="thin">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right style="medium">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hair">
        <color indexed="64"/>
      </bottom>
      <diagonal/>
    </border>
    <border>
      <left/>
      <right style="medium">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bottom style="hair">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thin">
        <color indexed="64"/>
      </left>
      <right style="hair">
        <color indexed="64"/>
      </right>
      <top style="thin">
        <color indexed="64"/>
      </top>
      <bottom/>
      <diagonal/>
    </border>
    <border>
      <left style="thin">
        <color indexed="64"/>
      </left>
      <right style="hair">
        <color indexed="64"/>
      </right>
      <top/>
      <bottom style="hair">
        <color indexed="64"/>
      </bottom>
      <diagonal/>
    </border>
  </borders>
  <cellStyleXfs count="2">
    <xf numFmtId="0" fontId="0" fillId="0" borderId="0"/>
    <xf numFmtId="0" fontId="6" fillId="0" borderId="0"/>
  </cellStyleXfs>
  <cellXfs count="167">
    <xf numFmtId="0" fontId="0" fillId="0" borderId="0" xfId="0"/>
    <xf numFmtId="0" fontId="0" fillId="0" borderId="0" xfId="0" applyAlignment="1">
      <alignment shrinkToFit="1"/>
    </xf>
    <xf numFmtId="0" fontId="4" fillId="0" borderId="0" xfId="0" applyFont="1"/>
    <xf numFmtId="0" fontId="5" fillId="0" borderId="0" xfId="0" applyFont="1" applyAlignment="1">
      <alignment shrinkToFit="1"/>
    </xf>
    <xf numFmtId="0" fontId="4" fillId="0" borderId="0" xfId="0" applyFont="1" applyAlignment="1"/>
    <xf numFmtId="0" fontId="4" fillId="0" borderId="1" xfId="0" applyFont="1" applyBorder="1"/>
    <xf numFmtId="0" fontId="4" fillId="0" borderId="2" xfId="0" applyFont="1" applyBorder="1"/>
    <xf numFmtId="0" fontId="4" fillId="0" borderId="3" xfId="0" applyFont="1" applyBorder="1"/>
    <xf numFmtId="0" fontId="4" fillId="0" borderId="0" xfId="0" applyFont="1" applyBorder="1"/>
    <xf numFmtId="0" fontId="4" fillId="0" borderId="4" xfId="0" applyFont="1" applyBorder="1"/>
    <xf numFmtId="0" fontId="4" fillId="0" borderId="5" xfId="0" applyFont="1" applyBorder="1"/>
    <xf numFmtId="0" fontId="4" fillId="0" borderId="11" xfId="0" applyFont="1" applyBorder="1"/>
    <xf numFmtId="0" fontId="4" fillId="0" borderId="16" xfId="0" applyFont="1" applyBorder="1"/>
    <xf numFmtId="0" fontId="4" fillId="0" borderId="17" xfId="0" applyFont="1" applyBorder="1"/>
    <xf numFmtId="0" fontId="0" fillId="2" borderId="22" xfId="0" applyFill="1" applyBorder="1" applyAlignment="1">
      <alignment horizontal="center" vertical="center" shrinkToFit="1"/>
    </xf>
    <xf numFmtId="49" fontId="0" fillId="2" borderId="22" xfId="0" applyNumberFormat="1" applyFill="1" applyBorder="1" applyAlignment="1">
      <alignment horizontal="center" vertical="center" shrinkToFit="1"/>
    </xf>
    <xf numFmtId="0" fontId="0" fillId="2" borderId="0" xfId="0" applyFill="1" applyBorder="1" applyAlignment="1">
      <alignment horizontal="center" vertical="center" shrinkToFit="1"/>
    </xf>
    <xf numFmtId="0" fontId="0" fillId="0" borderId="0" xfId="0" applyFill="1" applyBorder="1" applyAlignment="1">
      <alignment horizontal="center" vertical="center" shrinkToFit="1"/>
    </xf>
    <xf numFmtId="0" fontId="0" fillId="0" borderId="0" xfId="0" applyFill="1" applyAlignment="1">
      <alignment horizontal="center" vertical="center" shrinkToFit="1"/>
    </xf>
    <xf numFmtId="0" fontId="0" fillId="0" borderId="0" xfId="0" applyNumberFormat="1" applyFill="1" applyAlignment="1">
      <alignment horizontal="center" vertical="center" shrinkToFit="1"/>
    </xf>
    <xf numFmtId="0" fontId="4" fillId="0" borderId="25" xfId="0" applyFont="1" applyBorder="1"/>
    <xf numFmtId="0" fontId="4" fillId="0" borderId="24" xfId="0" applyFont="1" applyBorder="1"/>
    <xf numFmtId="0" fontId="4" fillId="0" borderId="27" xfId="0" applyFont="1" applyBorder="1"/>
    <xf numFmtId="0" fontId="4" fillId="0" borderId="26" xfId="0" applyFont="1" applyBorder="1"/>
    <xf numFmtId="0" fontId="4" fillId="0" borderId="29" xfId="0" applyFont="1" applyBorder="1"/>
    <xf numFmtId="0" fontId="4" fillId="0" borderId="30" xfId="0" applyFont="1" applyBorder="1"/>
    <xf numFmtId="0" fontId="4" fillId="0" borderId="18" xfId="0" applyFont="1" applyBorder="1" applyAlignment="1"/>
    <xf numFmtId="0" fontId="4" fillId="0" borderId="16" xfId="0" applyFont="1" applyBorder="1" applyAlignment="1"/>
    <xf numFmtId="0" fontId="4" fillId="0" borderId="19" xfId="0" applyFont="1" applyBorder="1" applyAlignment="1"/>
    <xf numFmtId="0" fontId="4" fillId="0" borderId="27" xfId="0" applyFont="1" applyBorder="1" applyAlignment="1"/>
    <xf numFmtId="0" fontId="4" fillId="0" borderId="26" xfId="0" applyFont="1" applyBorder="1" applyAlignment="1"/>
    <xf numFmtId="0" fontId="4" fillId="0" borderId="1" xfId="0" applyFont="1" applyBorder="1" applyAlignment="1"/>
    <xf numFmtId="177" fontId="0" fillId="2" borderId="22" xfId="0" applyNumberFormat="1" applyFill="1" applyBorder="1" applyAlignment="1">
      <alignment horizontal="center" vertical="center" shrinkToFit="1"/>
    </xf>
    <xf numFmtId="177" fontId="0" fillId="0" borderId="0" xfId="0" applyNumberFormat="1" applyAlignment="1">
      <alignment shrinkToFit="1"/>
    </xf>
    <xf numFmtId="0" fontId="0" fillId="0" borderId="12" xfId="0" applyBorder="1" applyAlignment="1">
      <alignment shrinkToFit="1"/>
    </xf>
    <xf numFmtId="0" fontId="0" fillId="0" borderId="8" xfId="0" applyBorder="1" applyAlignment="1">
      <alignment shrinkToFit="1"/>
    </xf>
    <xf numFmtId="0" fontId="0" fillId="0" borderId="14" xfId="0" applyBorder="1" applyAlignment="1">
      <alignment shrinkToFit="1"/>
    </xf>
    <xf numFmtId="0" fontId="0" fillId="0" borderId="10" xfId="0" applyBorder="1" applyAlignment="1">
      <alignment shrinkToFit="1"/>
    </xf>
    <xf numFmtId="0" fontId="0" fillId="0" borderId="15" xfId="0" applyBorder="1" applyAlignment="1">
      <alignment shrinkToFit="1"/>
    </xf>
    <xf numFmtId="0" fontId="0" fillId="0" borderId="20" xfId="0" applyBorder="1" applyAlignment="1">
      <alignment shrinkToFit="1"/>
    </xf>
    <xf numFmtId="0" fontId="0" fillId="0" borderId="21" xfId="0" applyFill="1" applyBorder="1" applyAlignment="1">
      <alignment vertical="center"/>
    </xf>
    <xf numFmtId="0" fontId="0" fillId="0" borderId="21" xfId="1" applyFont="1" applyBorder="1" applyAlignment="1">
      <alignment vertical="center"/>
    </xf>
    <xf numFmtId="0" fontId="0" fillId="0" borderId="21" xfId="0" applyFill="1" applyBorder="1" applyAlignment="1">
      <alignment vertical="center" shrinkToFit="1"/>
    </xf>
    <xf numFmtId="0" fontId="8" fillId="3" borderId="22" xfId="0" applyFont="1" applyFill="1" applyBorder="1" applyAlignment="1">
      <alignment horizontal="center" vertical="center" shrinkToFit="1"/>
    </xf>
    <xf numFmtId="0" fontId="0" fillId="0" borderId="21" xfId="0" applyBorder="1" applyAlignment="1">
      <alignment shrinkToFit="1"/>
    </xf>
    <xf numFmtId="176" fontId="0" fillId="0" borderId="21" xfId="0" applyNumberFormat="1" applyBorder="1" applyAlignment="1">
      <alignment shrinkToFit="1"/>
    </xf>
    <xf numFmtId="0" fontId="9" fillId="0" borderId="0" xfId="0" applyFont="1"/>
    <xf numFmtId="0" fontId="10" fillId="0" borderId="0" xfId="0" applyFont="1"/>
    <xf numFmtId="0" fontId="4" fillId="0" borderId="34" xfId="0" applyFont="1" applyBorder="1"/>
    <xf numFmtId="0" fontId="4" fillId="0" borderId="35" xfId="0" applyFont="1" applyBorder="1"/>
    <xf numFmtId="0" fontId="4" fillId="0" borderId="10" xfId="0" applyFont="1" applyBorder="1"/>
    <xf numFmtId="0" fontId="4" fillId="0" borderId="20" xfId="0" applyFont="1" applyBorder="1"/>
    <xf numFmtId="0" fontId="4" fillId="0" borderId="12" xfId="0" applyFont="1" applyBorder="1"/>
    <xf numFmtId="0" fontId="4" fillId="0" borderId="7" xfId="0" applyFont="1" applyBorder="1"/>
    <xf numFmtId="0" fontId="4" fillId="0" borderId="13" xfId="0" applyFont="1" applyBorder="1"/>
    <xf numFmtId="0" fontId="4" fillId="0" borderId="24" xfId="0" applyFont="1" applyBorder="1" applyAlignment="1"/>
    <xf numFmtId="0" fontId="4" fillId="0" borderId="17" xfId="0" applyFont="1" applyBorder="1" applyAlignment="1"/>
    <xf numFmtId="0" fontId="4" fillId="0" borderId="31" xfId="0" applyFont="1" applyBorder="1"/>
    <xf numFmtId="0" fontId="4" fillId="0" borderId="14" xfId="0" applyFont="1" applyBorder="1"/>
    <xf numFmtId="0" fontId="4" fillId="0" borderId="0" xfId="0" applyFont="1" applyBorder="1" applyAlignment="1"/>
    <xf numFmtId="0" fontId="4" fillId="0" borderId="3" xfId="0" applyFont="1" applyBorder="1" applyAlignment="1"/>
    <xf numFmtId="0" fontId="4" fillId="0" borderId="37" xfId="0" applyFont="1" applyBorder="1" applyAlignment="1">
      <alignment horizontal="left" vertical="center"/>
    </xf>
    <xf numFmtId="0" fontId="4" fillId="0" borderId="38" xfId="0" applyFont="1" applyBorder="1" applyAlignment="1">
      <alignment horizontal="left" vertical="center"/>
    </xf>
    <xf numFmtId="0" fontId="4" fillId="0" borderId="16" xfId="0" applyFont="1" applyBorder="1" applyAlignment="1">
      <alignment horizontal="left" vertical="center"/>
    </xf>
    <xf numFmtId="0" fontId="4" fillId="0" borderId="17" xfId="0" applyFont="1" applyBorder="1" applyAlignment="1">
      <alignment horizontal="left" vertical="center"/>
    </xf>
    <xf numFmtId="0" fontId="4" fillId="0" borderId="0" xfId="0" applyFont="1" applyAlignment="1">
      <alignment horizontal="right"/>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32" xfId="0" applyFont="1" applyBorder="1" applyAlignment="1">
      <alignment horizontal="center" wrapText="1"/>
    </xf>
    <xf numFmtId="0" fontId="4" fillId="0" borderId="2" xfId="0" applyFont="1" applyBorder="1" applyAlignment="1">
      <alignment horizontal="center" wrapText="1"/>
    </xf>
    <xf numFmtId="0" fontId="4" fillId="0" borderId="33" xfId="0" applyFont="1" applyBorder="1" applyAlignment="1">
      <alignment horizontal="center" wrapText="1"/>
    </xf>
    <xf numFmtId="0" fontId="4" fillId="0" borderId="0" xfId="0" applyFont="1" applyBorder="1" applyAlignment="1">
      <alignment horizontal="left" vertical="center"/>
    </xf>
    <xf numFmtId="0" fontId="4" fillId="0" borderId="2" xfId="0" applyFont="1" applyBorder="1" applyAlignment="1">
      <alignment horizontal="left" vertical="center"/>
    </xf>
    <xf numFmtId="0" fontId="4" fillId="0" borderId="12"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0" xfId="0" applyFont="1" applyBorder="1" applyAlignment="1">
      <alignment horizontal="center" vertical="center" wrapText="1"/>
    </xf>
    <xf numFmtId="0" fontId="5" fillId="0" borderId="7" xfId="0" applyFont="1" applyBorder="1" applyAlignment="1">
      <alignment horizontal="left" vertical="top" wrapText="1"/>
    </xf>
    <xf numFmtId="0" fontId="5" fillId="0" borderId="7" xfId="0" applyFont="1" applyBorder="1" applyAlignment="1">
      <alignment horizontal="left" vertical="top"/>
    </xf>
    <xf numFmtId="0" fontId="5" fillId="0" borderId="13" xfId="0" applyFont="1" applyBorder="1" applyAlignment="1">
      <alignment horizontal="left" vertical="top"/>
    </xf>
    <xf numFmtId="0" fontId="5" fillId="0" borderId="0" xfId="0" applyFont="1" applyBorder="1" applyAlignment="1">
      <alignment horizontal="left" vertical="top"/>
    </xf>
    <xf numFmtId="0" fontId="5" fillId="0" borderId="3" xfId="0" applyFont="1" applyBorder="1" applyAlignment="1">
      <alignment horizontal="left" vertical="top"/>
    </xf>
    <xf numFmtId="0" fontId="5" fillId="0" borderId="1" xfId="0" applyFont="1" applyBorder="1" applyAlignment="1">
      <alignment horizontal="left" vertical="top"/>
    </xf>
    <xf numFmtId="0" fontId="5" fillId="0" borderId="11" xfId="0" applyFont="1" applyBorder="1" applyAlignment="1">
      <alignment horizontal="left" vertical="top"/>
    </xf>
    <xf numFmtId="0" fontId="4" fillId="0" borderId="7" xfId="0" applyFont="1" applyBorder="1" applyAlignment="1">
      <alignment horizontal="left" vertical="top"/>
    </xf>
    <xf numFmtId="0" fontId="4" fillId="0" borderId="13" xfId="0" applyFont="1" applyBorder="1" applyAlignment="1">
      <alignment horizontal="left" vertical="top"/>
    </xf>
    <xf numFmtId="0" fontId="4" fillId="0" borderId="0" xfId="0" applyFont="1" applyBorder="1" applyAlignment="1">
      <alignment horizontal="left" vertical="top"/>
    </xf>
    <xf numFmtId="0" fontId="4" fillId="0" borderId="3" xfId="0" applyFont="1" applyBorder="1" applyAlignment="1">
      <alignment horizontal="left" vertical="top"/>
    </xf>
    <xf numFmtId="0" fontId="4" fillId="0" borderId="1" xfId="0" applyFont="1" applyBorder="1" applyAlignment="1">
      <alignment horizontal="left" vertical="top"/>
    </xf>
    <xf numFmtId="0" fontId="4" fillId="0" borderId="11" xfId="0" applyFont="1" applyBorder="1" applyAlignment="1">
      <alignment horizontal="left" vertical="top"/>
    </xf>
    <xf numFmtId="0" fontId="4" fillId="0" borderId="24" xfId="0" applyFont="1" applyBorder="1" applyAlignment="1">
      <alignment horizontal="center" shrinkToFit="1"/>
    </xf>
    <xf numFmtId="0" fontId="4" fillId="0" borderId="23" xfId="0" applyFont="1" applyBorder="1" applyAlignment="1">
      <alignment horizontal="center" shrinkToFit="1"/>
    </xf>
    <xf numFmtId="0" fontId="4" fillId="0" borderId="16" xfId="0" applyFont="1" applyBorder="1" applyAlignment="1">
      <alignment horizontal="center" shrinkToFit="1"/>
    </xf>
    <xf numFmtId="0" fontId="4" fillId="0" borderId="0" xfId="0" applyFont="1" applyBorder="1" applyAlignment="1">
      <alignment horizontal="center" shrinkToFit="1"/>
    </xf>
    <xf numFmtId="0" fontId="4" fillId="0" borderId="3" xfId="0" applyFont="1" applyBorder="1" applyAlignment="1">
      <alignment horizontal="center" shrinkToFit="1"/>
    </xf>
    <xf numFmtId="0" fontId="4" fillId="0" borderId="14" xfId="0" applyFont="1" applyBorder="1" applyAlignment="1">
      <alignment horizontal="center"/>
    </xf>
    <xf numFmtId="0" fontId="4" fillId="0" borderId="0" xfId="0" applyFont="1" applyBorder="1" applyAlignment="1">
      <alignment horizontal="center"/>
    </xf>
    <xf numFmtId="0" fontId="4" fillId="0" borderId="31" xfId="0" applyFont="1" applyBorder="1" applyAlignment="1">
      <alignment horizontal="center"/>
    </xf>
    <xf numFmtId="0" fontId="4" fillId="0" borderId="16" xfId="0" applyFont="1" applyBorder="1" applyAlignment="1">
      <alignment horizontal="center"/>
    </xf>
    <xf numFmtId="0" fontId="4" fillId="0" borderId="1"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5" xfId="0" applyFont="1" applyBorder="1" applyAlignment="1">
      <alignment horizontal="center"/>
    </xf>
    <xf numFmtId="0" fontId="4" fillId="0" borderId="20" xfId="0" applyFont="1" applyBorder="1" applyAlignment="1">
      <alignment horizontal="center"/>
    </xf>
    <xf numFmtId="0" fontId="4" fillId="0" borderId="36" xfId="0" applyFont="1" applyBorder="1" applyAlignment="1">
      <alignment horizontal="center"/>
    </xf>
    <xf numFmtId="0" fontId="4" fillId="0" borderId="26" xfId="0" applyFont="1" applyBorder="1" applyAlignment="1">
      <alignment horizontal="center"/>
    </xf>
    <xf numFmtId="0" fontId="4" fillId="0" borderId="27" xfId="0" applyFont="1" applyBorder="1" applyAlignment="1">
      <alignment horizontal="center"/>
    </xf>
    <xf numFmtId="0" fontId="4" fillId="0" borderId="0" xfId="0" applyFont="1" applyAlignment="1">
      <alignment horizont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0" xfId="0" applyFont="1" applyBorder="1" applyAlignment="1">
      <alignment horizontal="center" vertical="center"/>
    </xf>
    <xf numFmtId="0" fontId="4" fillId="0" borderId="10" xfId="0" applyFont="1" applyBorder="1" applyAlignment="1">
      <alignment horizontal="center" vertical="center"/>
    </xf>
    <xf numFmtId="0" fontId="4" fillId="0" borderId="5" xfId="0" applyFont="1" applyBorder="1" applyAlignment="1">
      <alignment horizontal="center" vertical="center"/>
    </xf>
    <xf numFmtId="0" fontId="4" fillId="0" borderId="1" xfId="0" applyFont="1" applyBorder="1" applyAlignment="1">
      <alignment horizontal="center" vertical="center"/>
    </xf>
    <xf numFmtId="0" fontId="4" fillId="0" borderId="20" xfId="0" applyFont="1" applyBorder="1" applyAlignment="1">
      <alignment horizontal="center" vertical="center"/>
    </xf>
    <xf numFmtId="0" fontId="4" fillId="0" borderId="28" xfId="0" applyFont="1" applyBorder="1" applyAlignment="1">
      <alignment horizontal="center" shrinkToFit="1"/>
    </xf>
    <xf numFmtId="0" fontId="3" fillId="0" borderId="6"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0" xfId="0" applyFont="1" applyBorder="1" applyAlignment="1">
      <alignment horizontal="center" vertical="center"/>
    </xf>
    <xf numFmtId="0" fontId="3" fillId="0" borderId="10"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20" xfId="0" applyFont="1" applyBorder="1" applyAlignment="1">
      <alignment horizontal="center" vertical="center"/>
    </xf>
    <xf numFmtId="0" fontId="5" fillId="0" borderId="0" xfId="0" applyFont="1" applyBorder="1" applyAlignment="1">
      <alignment horizontal="left"/>
    </xf>
    <xf numFmtId="0" fontId="5" fillId="0" borderId="3" xfId="0" applyFont="1" applyBorder="1" applyAlignment="1">
      <alignment horizontal="left"/>
    </xf>
    <xf numFmtId="0" fontId="4" fillId="0" borderId="3" xfId="0" applyFont="1" applyBorder="1" applyAlignment="1">
      <alignment horizontal="center" vertical="center" textRotation="255"/>
    </xf>
    <xf numFmtId="0" fontId="5" fillId="0" borderId="6" xfId="0" applyFont="1" applyBorder="1" applyAlignment="1">
      <alignment horizontal="center" wrapText="1"/>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0" xfId="0" applyFont="1" applyBorder="1" applyAlignment="1">
      <alignment horizontal="center"/>
    </xf>
    <xf numFmtId="0" fontId="5" fillId="0" borderId="10" xfId="0" applyFont="1" applyBorder="1" applyAlignment="1">
      <alignment horizontal="center"/>
    </xf>
    <xf numFmtId="0" fontId="5" fillId="0" borderId="5" xfId="0" applyFont="1" applyBorder="1" applyAlignment="1">
      <alignment horizontal="center"/>
    </xf>
    <xf numFmtId="0" fontId="5" fillId="0" borderId="1" xfId="0" applyFont="1" applyBorder="1" applyAlignment="1">
      <alignment horizontal="center"/>
    </xf>
    <xf numFmtId="0" fontId="5" fillId="0" borderId="20" xfId="0" applyFont="1" applyBorder="1" applyAlignment="1">
      <alignment horizontal="center"/>
    </xf>
    <xf numFmtId="176" fontId="5" fillId="0" borderId="0" xfId="0" applyNumberFormat="1" applyFont="1" applyBorder="1" applyAlignment="1">
      <alignment horizontal="center" wrapText="1"/>
    </xf>
    <xf numFmtId="176" fontId="5" fillId="0" borderId="3" xfId="0" applyNumberFormat="1" applyFont="1" applyBorder="1" applyAlignment="1">
      <alignment horizontal="center" wrapText="1"/>
    </xf>
    <xf numFmtId="0" fontId="5" fillId="0" borderId="0" xfId="0" applyFont="1" applyAlignment="1">
      <alignment horizontal="center"/>
    </xf>
    <xf numFmtId="0" fontId="5" fillId="0" borderId="0" xfId="0" applyFont="1" applyBorder="1" applyAlignment="1">
      <alignment horizontal="left" shrinkToFit="1"/>
    </xf>
    <xf numFmtId="0" fontId="5" fillId="0" borderId="3" xfId="0" applyFont="1" applyBorder="1" applyAlignment="1">
      <alignment horizontal="left" shrinkToFit="1"/>
    </xf>
    <xf numFmtId="0" fontId="5" fillId="0" borderId="0" xfId="0" applyFont="1" applyBorder="1" applyAlignment="1">
      <alignment horizontal="left" vertical="top" wrapText="1"/>
    </xf>
    <xf numFmtId="0" fontId="5" fillId="0" borderId="3" xfId="0" applyFont="1" applyBorder="1" applyAlignment="1">
      <alignment horizontal="left" vertical="top" wrapText="1"/>
    </xf>
    <xf numFmtId="0" fontId="4" fillId="0" borderId="1" xfId="0" applyFont="1" applyBorder="1" applyAlignment="1">
      <alignment horizontal="center" shrinkToFit="1"/>
    </xf>
    <xf numFmtId="0" fontId="4" fillId="0" borderId="39" xfId="0" applyFont="1" applyBorder="1" applyAlignment="1">
      <alignment horizontal="center" vertical="top"/>
    </xf>
    <xf numFmtId="0" fontId="4" fillId="0" borderId="40" xfId="0" applyFont="1" applyBorder="1" applyAlignment="1">
      <alignment horizontal="center" vertical="top"/>
    </xf>
    <xf numFmtId="0" fontId="11" fillId="0" borderId="6" xfId="0" applyFont="1" applyBorder="1" applyAlignment="1">
      <alignment horizontal="center" vertical="center" wrapTex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0" xfId="0" applyFont="1" applyBorder="1" applyAlignment="1">
      <alignment horizontal="center" vertical="center"/>
    </xf>
    <xf numFmtId="0" fontId="12" fillId="0" borderId="10" xfId="0" applyFont="1" applyBorder="1" applyAlignment="1">
      <alignment horizontal="center" vertical="center"/>
    </xf>
    <xf numFmtId="0" fontId="12" fillId="0" borderId="5" xfId="0" applyFont="1" applyBorder="1" applyAlignment="1">
      <alignment horizontal="center" vertical="center"/>
    </xf>
    <xf numFmtId="0" fontId="12" fillId="0" borderId="1" xfId="0" applyFont="1" applyBorder="1" applyAlignment="1">
      <alignment horizontal="center" vertical="center"/>
    </xf>
    <xf numFmtId="0" fontId="12" fillId="0" borderId="20" xfId="0" applyFont="1" applyBorder="1" applyAlignment="1">
      <alignment horizontal="center" vertical="center"/>
    </xf>
    <xf numFmtId="0" fontId="4" fillId="0" borderId="30" xfId="0" applyFont="1" applyBorder="1" applyAlignment="1"/>
    <xf numFmtId="0" fontId="4" fillId="0" borderId="26" xfId="0" applyFont="1" applyBorder="1" applyAlignment="1">
      <alignment horizontal="left"/>
    </xf>
  </cellXfs>
  <cellStyles count="2">
    <cellStyle name="標準" xfId="0" builtinId="0"/>
    <cellStyle name="標準_短期占用データ15年度" xfId="1"/>
  </cellStyles>
  <dxfs count="1">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13</xdr:col>
      <xdr:colOff>85726</xdr:colOff>
      <xdr:row>21</xdr:row>
      <xdr:rowOff>95250</xdr:rowOff>
    </xdr:from>
    <xdr:ext cx="1807867" cy="338137"/>
    <xdr:sp macro="" textlink="">
      <xdr:nvSpPr>
        <xdr:cNvPr id="2" name="テキスト ボックス 1"/>
        <xdr:cNvSpPr txBox="1"/>
      </xdr:nvSpPr>
      <xdr:spPr>
        <a:xfrm>
          <a:off x="3057526" y="4405313"/>
          <a:ext cx="1807867" cy="338137"/>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a:t>
          </a:r>
          <a:r>
            <a:rPr kumimoji="1" lang="en-US" altLang="ja-JP" sz="1100"/>
            <a:t>1</a:t>
          </a:r>
          <a:r>
            <a:rPr kumimoji="1" lang="ja-JP" altLang="en-US" sz="1100"/>
            <a:t>」を入力してください</a:t>
          </a:r>
          <a:endParaRPr kumimoji="1" lang="en-US" altLang="ja-JP" sz="1100"/>
        </a:p>
        <a:p>
          <a:endParaRPr kumimoji="1" lang="ja-JP" altLang="en-US" sz="1100"/>
        </a:p>
      </xdr:txBody>
    </xdr:sp>
    <xdr:clientData/>
  </xdr:oneCellAnchor>
  <xdr:twoCellAnchor>
    <xdr:from>
      <xdr:col>6</xdr:col>
      <xdr:colOff>28575</xdr:colOff>
      <xdr:row>21</xdr:row>
      <xdr:rowOff>9525</xdr:rowOff>
    </xdr:from>
    <xdr:to>
      <xdr:col>7</xdr:col>
      <xdr:colOff>28575</xdr:colOff>
      <xdr:row>25</xdr:row>
      <xdr:rowOff>171450</xdr:rowOff>
    </xdr:to>
    <xdr:sp macro="" textlink="">
      <xdr:nvSpPr>
        <xdr:cNvPr id="3" name="正方形/長方形 2"/>
        <xdr:cNvSpPr/>
      </xdr:nvSpPr>
      <xdr:spPr>
        <a:xfrm>
          <a:off x="1400175" y="4319588"/>
          <a:ext cx="228600" cy="981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28575</xdr:colOff>
      <xdr:row>22</xdr:row>
      <xdr:rowOff>100013</xdr:rowOff>
    </xdr:from>
    <xdr:to>
      <xdr:col>13</xdr:col>
      <xdr:colOff>42863</xdr:colOff>
      <xdr:row>23</xdr:row>
      <xdr:rowOff>90488</xdr:rowOff>
    </xdr:to>
    <xdr:cxnSp macro="">
      <xdr:nvCxnSpPr>
        <xdr:cNvPr id="5" name="直線矢印コネクタ 4"/>
        <xdr:cNvCxnSpPr>
          <a:endCxn id="3" idx="3"/>
        </xdr:cNvCxnSpPr>
      </xdr:nvCxnSpPr>
      <xdr:spPr>
        <a:xfrm flipH="1">
          <a:off x="1628775" y="4614863"/>
          <a:ext cx="1385888" cy="19526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30</xdr:row>
      <xdr:rowOff>200026</xdr:rowOff>
    </xdr:from>
    <xdr:to>
      <xdr:col>7</xdr:col>
      <xdr:colOff>4763</xdr:colOff>
      <xdr:row>38</xdr:row>
      <xdr:rowOff>14288</xdr:rowOff>
    </xdr:to>
    <xdr:sp macro="" textlink="">
      <xdr:nvSpPr>
        <xdr:cNvPr id="6" name="正方形/長方形 5"/>
        <xdr:cNvSpPr/>
      </xdr:nvSpPr>
      <xdr:spPr>
        <a:xfrm>
          <a:off x="1381125" y="6353176"/>
          <a:ext cx="223838" cy="145256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228599</xdr:colOff>
      <xdr:row>34</xdr:row>
      <xdr:rowOff>0</xdr:rowOff>
    </xdr:from>
    <xdr:to>
      <xdr:col>20</xdr:col>
      <xdr:colOff>9524</xdr:colOff>
      <xdr:row>37</xdr:row>
      <xdr:rowOff>4763</xdr:rowOff>
    </xdr:to>
    <xdr:sp macro="" textlink="">
      <xdr:nvSpPr>
        <xdr:cNvPr id="7" name="正方形/長方形 6"/>
        <xdr:cNvSpPr/>
      </xdr:nvSpPr>
      <xdr:spPr>
        <a:xfrm>
          <a:off x="4343399" y="6972300"/>
          <a:ext cx="238125" cy="6191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xdr:colOff>
      <xdr:row>23</xdr:row>
      <xdr:rowOff>23812</xdr:rowOff>
    </xdr:from>
    <xdr:to>
      <xdr:col>13</xdr:col>
      <xdr:colOff>100013</xdr:colOff>
      <xdr:row>31</xdr:row>
      <xdr:rowOff>90487</xdr:rowOff>
    </xdr:to>
    <xdr:cxnSp macro="">
      <xdr:nvCxnSpPr>
        <xdr:cNvPr id="8" name="直線矢印コネクタ 7"/>
        <xdr:cNvCxnSpPr/>
      </xdr:nvCxnSpPr>
      <xdr:spPr>
        <a:xfrm flipH="1">
          <a:off x="1619250" y="4743450"/>
          <a:ext cx="1452563" cy="17049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22</xdr:row>
      <xdr:rowOff>195263</xdr:rowOff>
    </xdr:from>
    <xdr:to>
      <xdr:col>19</xdr:col>
      <xdr:colOff>119062</xdr:colOff>
      <xdr:row>34</xdr:row>
      <xdr:rowOff>0</xdr:rowOff>
    </xdr:to>
    <xdr:cxnSp macro="">
      <xdr:nvCxnSpPr>
        <xdr:cNvPr id="11" name="直線矢印コネクタ 10"/>
        <xdr:cNvCxnSpPr>
          <a:endCxn id="7" idx="0"/>
        </xdr:cNvCxnSpPr>
      </xdr:nvCxnSpPr>
      <xdr:spPr>
        <a:xfrm>
          <a:off x="3209925" y="4710113"/>
          <a:ext cx="1252537" cy="226218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F43"/>
  <sheetViews>
    <sheetView view="pageBreakPreview" zoomScale="130" zoomScaleNormal="130" zoomScaleSheetLayoutView="130" workbookViewId="0">
      <selection activeCell="A5" sqref="A5:A21"/>
    </sheetView>
  </sheetViews>
  <sheetFormatPr defaultColWidth="3" defaultRowHeight="16.2" x14ac:dyDescent="0.4"/>
  <cols>
    <col min="1" max="25" width="3" style="2"/>
    <col min="26" max="26" width="4.5" style="2" customWidth="1"/>
    <col min="27" max="16384" width="3" style="2"/>
  </cols>
  <sheetData>
    <row r="2" spans="1:32" ht="18" x14ac:dyDescent="0.45">
      <c r="F2" s="46" t="s">
        <v>0</v>
      </c>
    </row>
    <row r="3" spans="1:32" ht="16.8" thickBot="1" x14ac:dyDescent="0.45">
      <c r="B3" s="6" t="s">
        <v>1</v>
      </c>
      <c r="C3" s="6"/>
      <c r="D3" s="6"/>
      <c r="E3" s="6"/>
      <c r="F3" s="6"/>
      <c r="G3" s="6"/>
      <c r="H3" s="6"/>
      <c r="I3" s="6"/>
      <c r="J3" s="6"/>
      <c r="K3" s="6"/>
      <c r="L3" s="6"/>
      <c r="M3" s="6"/>
      <c r="N3" s="6"/>
      <c r="O3" s="6"/>
      <c r="P3" s="6"/>
      <c r="Q3" s="6"/>
      <c r="R3" s="6"/>
      <c r="S3" s="6"/>
      <c r="T3" s="6"/>
      <c r="U3" s="6"/>
      <c r="V3" s="6"/>
      <c r="W3" s="6"/>
      <c r="X3" s="6"/>
      <c r="Y3" s="6"/>
      <c r="Z3" s="6"/>
    </row>
    <row r="4" spans="1:32" x14ac:dyDescent="0.4">
      <c r="A4" s="7"/>
      <c r="Z4" s="7"/>
    </row>
    <row r="5" spans="1:32" x14ac:dyDescent="0.4">
      <c r="A5" s="136" t="s">
        <v>95</v>
      </c>
      <c r="R5" s="65" t="s">
        <v>103</v>
      </c>
      <c r="S5" s="65"/>
      <c r="T5" s="65"/>
      <c r="U5" s="146"/>
      <c r="V5" s="146"/>
      <c r="W5" s="146"/>
      <c r="X5" s="146"/>
      <c r="Y5" s="146"/>
      <c r="Z5" s="147"/>
    </row>
    <row r="6" spans="1:32" x14ac:dyDescent="0.4">
      <c r="A6" s="136"/>
      <c r="P6" s="2" t="s">
        <v>3</v>
      </c>
      <c r="Q6" s="148"/>
      <c r="R6" s="148"/>
      <c r="S6" s="148"/>
      <c r="T6" s="148"/>
      <c r="U6" s="148"/>
      <c r="V6" s="148"/>
      <c r="Z6" s="7"/>
    </row>
    <row r="7" spans="1:32" x14ac:dyDescent="0.4">
      <c r="A7" s="136"/>
      <c r="O7" s="2" t="s">
        <v>4</v>
      </c>
      <c r="Q7" s="151"/>
      <c r="R7" s="151"/>
      <c r="S7" s="151"/>
      <c r="T7" s="151"/>
      <c r="U7" s="151"/>
      <c r="V7" s="151"/>
      <c r="W7" s="151"/>
      <c r="X7" s="151"/>
      <c r="Y7" s="151"/>
      <c r="Z7" s="152"/>
      <c r="AF7" s="3"/>
    </row>
    <row r="8" spans="1:32" x14ac:dyDescent="0.4">
      <c r="A8" s="136"/>
      <c r="Q8" s="151"/>
      <c r="R8" s="151"/>
      <c r="S8" s="151"/>
      <c r="T8" s="151"/>
      <c r="U8" s="151"/>
      <c r="V8" s="151"/>
      <c r="W8" s="151"/>
      <c r="X8" s="151"/>
      <c r="Y8" s="151"/>
      <c r="Z8" s="152"/>
    </row>
    <row r="9" spans="1:32" x14ac:dyDescent="0.4">
      <c r="A9" s="136"/>
      <c r="L9" s="2" t="s">
        <v>6</v>
      </c>
      <c r="O9" s="2" t="s">
        <v>5</v>
      </c>
      <c r="Q9" s="149"/>
      <c r="R9" s="149"/>
      <c r="S9" s="149"/>
      <c r="T9" s="149"/>
      <c r="U9" s="149"/>
      <c r="V9" s="149"/>
      <c r="W9" s="149"/>
      <c r="X9" s="149"/>
      <c r="Y9" s="149"/>
      <c r="Z9" s="150"/>
    </row>
    <row r="10" spans="1:32" x14ac:dyDescent="0.4">
      <c r="A10" s="136"/>
      <c r="O10" s="2" t="s">
        <v>8</v>
      </c>
      <c r="Q10" s="8" t="s">
        <v>30</v>
      </c>
      <c r="R10" s="8" t="s">
        <v>9</v>
      </c>
      <c r="S10" s="8"/>
      <c r="T10" s="134"/>
      <c r="U10" s="134"/>
      <c r="V10" s="134"/>
      <c r="W10" s="134"/>
      <c r="X10" s="134"/>
      <c r="Y10" s="134"/>
      <c r="Z10" s="135"/>
    </row>
    <row r="11" spans="1:32" x14ac:dyDescent="0.4">
      <c r="A11" s="136"/>
      <c r="Q11" s="8"/>
      <c r="R11" s="8" t="s">
        <v>10</v>
      </c>
      <c r="S11" s="8"/>
      <c r="T11" s="134"/>
      <c r="U11" s="134"/>
      <c r="V11" s="134"/>
      <c r="W11" s="134"/>
      <c r="X11" s="134"/>
      <c r="Y11" s="134"/>
      <c r="Z11" s="135"/>
    </row>
    <row r="12" spans="1:32" x14ac:dyDescent="0.4">
      <c r="A12" s="136"/>
      <c r="P12" s="2" t="s">
        <v>11</v>
      </c>
      <c r="Q12" s="8"/>
      <c r="R12" s="8"/>
      <c r="S12" s="8"/>
      <c r="T12" s="134"/>
      <c r="U12" s="134"/>
      <c r="V12" s="134"/>
      <c r="W12" s="134"/>
      <c r="X12" s="134"/>
      <c r="Y12" s="134"/>
      <c r="Z12" s="135"/>
    </row>
    <row r="13" spans="1:32" x14ac:dyDescent="0.4">
      <c r="A13" s="136"/>
      <c r="P13" s="2" t="s">
        <v>12</v>
      </c>
      <c r="Q13" s="8"/>
      <c r="R13" s="8" t="s">
        <v>13</v>
      </c>
      <c r="S13" s="8"/>
      <c r="T13" s="134"/>
      <c r="U13" s="134"/>
      <c r="V13" s="134"/>
      <c r="W13" s="134"/>
      <c r="X13" s="134"/>
      <c r="Y13" s="134"/>
      <c r="Z13" s="135"/>
    </row>
    <row r="14" spans="1:32" x14ac:dyDescent="0.4">
      <c r="A14" s="136"/>
      <c r="Z14" s="7"/>
    </row>
    <row r="15" spans="1:32" x14ac:dyDescent="0.4">
      <c r="A15" s="136"/>
      <c r="B15" s="2" t="s">
        <v>104</v>
      </c>
      <c r="Z15" s="7"/>
      <c r="AF15" s="8"/>
    </row>
    <row r="16" spans="1:32" x14ac:dyDescent="0.4">
      <c r="A16" s="136"/>
      <c r="B16" s="10" t="s">
        <v>105</v>
      </c>
      <c r="C16" s="5"/>
      <c r="D16" s="5"/>
      <c r="E16" s="5"/>
      <c r="F16" s="5"/>
      <c r="G16" s="5"/>
      <c r="H16" s="5"/>
      <c r="I16" s="5"/>
      <c r="J16" s="5"/>
      <c r="K16" s="5"/>
      <c r="L16" s="5"/>
      <c r="M16" s="5"/>
      <c r="N16" s="5"/>
      <c r="O16" s="5"/>
      <c r="P16" s="5"/>
      <c r="Q16" s="5"/>
      <c r="R16" s="5"/>
      <c r="S16" s="5"/>
      <c r="T16" s="5"/>
      <c r="U16" s="5"/>
      <c r="V16" s="5"/>
      <c r="W16" s="5"/>
      <c r="X16" s="5"/>
      <c r="Y16" s="5"/>
      <c r="Z16" s="11"/>
    </row>
    <row r="17" spans="1:26" x14ac:dyDescent="0.4">
      <c r="A17" s="136"/>
      <c r="B17" s="137" t="s">
        <v>14</v>
      </c>
      <c r="C17" s="138"/>
      <c r="D17" s="138"/>
      <c r="E17" s="138"/>
      <c r="F17" s="139"/>
      <c r="G17" s="83"/>
      <c r="H17" s="84"/>
      <c r="I17" s="84"/>
      <c r="J17" s="84"/>
      <c r="K17" s="84"/>
      <c r="L17" s="84"/>
      <c r="M17" s="84"/>
      <c r="N17" s="84"/>
      <c r="O17" s="84"/>
      <c r="P17" s="84"/>
      <c r="Q17" s="84"/>
      <c r="R17" s="84"/>
      <c r="S17" s="84"/>
      <c r="T17" s="84"/>
      <c r="U17" s="84"/>
      <c r="V17" s="84"/>
      <c r="W17" s="84"/>
      <c r="X17" s="84"/>
      <c r="Y17" s="84"/>
      <c r="Z17" s="85"/>
    </row>
    <row r="18" spans="1:26" x14ac:dyDescent="0.4">
      <c r="A18" s="136"/>
      <c r="B18" s="140"/>
      <c r="C18" s="141"/>
      <c r="D18" s="141"/>
      <c r="E18" s="141"/>
      <c r="F18" s="142"/>
      <c r="G18" s="86"/>
      <c r="H18" s="86"/>
      <c r="I18" s="86"/>
      <c r="J18" s="86"/>
      <c r="K18" s="86"/>
      <c r="L18" s="86"/>
      <c r="M18" s="86"/>
      <c r="N18" s="86"/>
      <c r="O18" s="86"/>
      <c r="P18" s="86"/>
      <c r="Q18" s="86"/>
      <c r="R18" s="86"/>
      <c r="S18" s="86"/>
      <c r="T18" s="86"/>
      <c r="U18" s="86"/>
      <c r="V18" s="86"/>
      <c r="W18" s="86"/>
      <c r="X18" s="86"/>
      <c r="Y18" s="86"/>
      <c r="Z18" s="87"/>
    </row>
    <row r="19" spans="1:26" x14ac:dyDescent="0.4">
      <c r="A19" s="136"/>
      <c r="B19" s="143"/>
      <c r="C19" s="144"/>
      <c r="D19" s="144"/>
      <c r="E19" s="144"/>
      <c r="F19" s="145"/>
      <c r="G19" s="88"/>
      <c r="H19" s="88"/>
      <c r="I19" s="88"/>
      <c r="J19" s="88"/>
      <c r="K19" s="88"/>
      <c r="L19" s="88"/>
      <c r="M19" s="88"/>
      <c r="N19" s="88"/>
      <c r="O19" s="88"/>
      <c r="P19" s="88"/>
      <c r="Q19" s="88"/>
      <c r="R19" s="88"/>
      <c r="S19" s="88"/>
      <c r="T19" s="88"/>
      <c r="U19" s="88"/>
      <c r="V19" s="88"/>
      <c r="W19" s="88"/>
      <c r="X19" s="88"/>
      <c r="Y19" s="88"/>
      <c r="Z19" s="89"/>
    </row>
    <row r="20" spans="1:26" x14ac:dyDescent="0.4">
      <c r="A20" s="136"/>
      <c r="B20" s="116" t="s">
        <v>17</v>
      </c>
      <c r="C20" s="117"/>
      <c r="D20" s="117"/>
      <c r="E20" s="117"/>
      <c r="F20" s="118"/>
      <c r="G20" s="124" t="s">
        <v>18</v>
      </c>
      <c r="H20" s="96"/>
      <c r="I20" s="96"/>
      <c r="J20" s="96" t="s">
        <v>107</v>
      </c>
      <c r="K20" s="96"/>
      <c r="L20" s="96"/>
      <c r="M20" s="96"/>
      <c r="N20" s="96"/>
      <c r="O20" s="96"/>
      <c r="P20" s="96"/>
      <c r="Q20" s="96"/>
      <c r="R20" s="96"/>
      <c r="S20" s="96"/>
      <c r="T20" s="96"/>
      <c r="U20" s="96"/>
      <c r="V20" s="96"/>
      <c r="W20" s="96"/>
      <c r="X20" s="96"/>
      <c r="Y20" s="96"/>
      <c r="Z20" s="97"/>
    </row>
    <row r="21" spans="1:26" x14ac:dyDescent="0.4">
      <c r="A21" s="136"/>
      <c r="B21" s="121"/>
      <c r="C21" s="122"/>
      <c r="D21" s="122"/>
      <c r="E21" s="122"/>
      <c r="F21" s="123"/>
      <c r="G21" s="153" t="s">
        <v>19</v>
      </c>
      <c r="H21" s="153"/>
      <c r="I21" s="153"/>
      <c r="J21" s="98" t="s">
        <v>107</v>
      </c>
      <c r="K21" s="98"/>
      <c r="L21" s="98"/>
      <c r="M21" s="98"/>
      <c r="N21" s="98"/>
      <c r="O21" s="98"/>
      <c r="P21" s="98"/>
      <c r="Q21" s="98"/>
      <c r="R21" s="98"/>
      <c r="S21" s="98"/>
      <c r="T21" s="98"/>
      <c r="U21" s="98"/>
      <c r="V21" s="99"/>
      <c r="W21" s="99"/>
      <c r="X21" s="99"/>
      <c r="Y21" s="99"/>
      <c r="Z21" s="100"/>
    </row>
    <row r="22" spans="1:26" x14ac:dyDescent="0.4">
      <c r="A22" s="7"/>
      <c r="B22" s="125" t="s">
        <v>33</v>
      </c>
      <c r="C22" s="126"/>
      <c r="D22" s="126"/>
      <c r="E22" s="126"/>
      <c r="F22" s="127"/>
      <c r="G22" s="20"/>
      <c r="H22" s="21" t="s">
        <v>20</v>
      </c>
      <c r="I22" s="21" t="s">
        <v>21</v>
      </c>
      <c r="J22" s="21"/>
      <c r="K22" s="21"/>
      <c r="L22" s="21"/>
      <c r="M22" s="21"/>
      <c r="N22" s="21"/>
      <c r="O22" s="21"/>
      <c r="P22" s="48"/>
      <c r="Q22" s="117" t="s">
        <v>34</v>
      </c>
      <c r="R22" s="117"/>
      <c r="S22" s="117"/>
      <c r="T22" s="117"/>
      <c r="U22" s="118"/>
      <c r="V22" s="52" t="s">
        <v>35</v>
      </c>
      <c r="W22" s="53"/>
      <c r="X22" s="53"/>
      <c r="Y22" s="53"/>
      <c r="Z22" s="54"/>
    </row>
    <row r="23" spans="1:26" x14ac:dyDescent="0.4">
      <c r="A23" s="7"/>
      <c r="B23" s="128"/>
      <c r="C23" s="129"/>
      <c r="D23" s="129"/>
      <c r="E23" s="129"/>
      <c r="F23" s="130"/>
      <c r="G23" s="22"/>
      <c r="H23" s="23" t="s">
        <v>22</v>
      </c>
      <c r="I23" s="23" t="s">
        <v>24</v>
      </c>
      <c r="J23" s="23"/>
      <c r="K23" s="23"/>
      <c r="L23" s="23"/>
      <c r="M23" s="23"/>
      <c r="N23" s="23"/>
      <c r="O23" s="23"/>
      <c r="P23" s="49"/>
      <c r="Q23" s="119"/>
      <c r="R23" s="119"/>
      <c r="S23" s="119"/>
      <c r="T23" s="119"/>
      <c r="U23" s="120"/>
      <c r="V23" s="102"/>
      <c r="W23" s="102"/>
      <c r="X23" s="102"/>
      <c r="Z23" s="7"/>
    </row>
    <row r="24" spans="1:26" x14ac:dyDescent="0.4">
      <c r="A24" s="7"/>
      <c r="B24" s="128"/>
      <c r="C24" s="129"/>
      <c r="D24" s="129"/>
      <c r="E24" s="129"/>
      <c r="F24" s="130"/>
      <c r="G24" s="22"/>
      <c r="H24" s="23" t="s">
        <v>23</v>
      </c>
      <c r="I24" s="23" t="s">
        <v>26</v>
      </c>
      <c r="J24" s="23"/>
      <c r="K24" s="23"/>
      <c r="L24" s="23"/>
      <c r="M24" s="23"/>
      <c r="N24" s="23"/>
      <c r="O24" s="23"/>
      <c r="P24" s="49"/>
      <c r="Q24" s="119"/>
      <c r="R24" s="119"/>
      <c r="S24" s="119"/>
      <c r="T24" s="119"/>
      <c r="U24" s="120"/>
      <c r="V24" s="104"/>
      <c r="W24" s="104"/>
      <c r="X24" s="104"/>
      <c r="Y24" s="12" t="s">
        <v>36</v>
      </c>
      <c r="Z24" s="13"/>
    </row>
    <row r="25" spans="1:26" x14ac:dyDescent="0.4">
      <c r="A25" s="7"/>
      <c r="B25" s="128"/>
      <c r="C25" s="129"/>
      <c r="D25" s="129"/>
      <c r="E25" s="129"/>
      <c r="F25" s="130"/>
      <c r="G25" s="22"/>
      <c r="H25" s="23" t="s">
        <v>25</v>
      </c>
      <c r="I25" s="23" t="s">
        <v>28</v>
      </c>
      <c r="J25" s="23"/>
      <c r="K25" s="23"/>
      <c r="L25" s="23"/>
      <c r="M25" s="23"/>
      <c r="N25" s="23"/>
      <c r="O25" s="23"/>
      <c r="P25" s="49"/>
      <c r="Q25" s="119"/>
      <c r="R25" s="119"/>
      <c r="S25" s="119"/>
      <c r="T25" s="119"/>
      <c r="U25" s="120"/>
      <c r="V25" s="8" t="s">
        <v>37</v>
      </c>
      <c r="W25" s="8"/>
      <c r="X25" s="8"/>
      <c r="Z25" s="7"/>
    </row>
    <row r="26" spans="1:26" x14ac:dyDescent="0.4">
      <c r="A26" s="7"/>
      <c r="B26" s="128"/>
      <c r="C26" s="129"/>
      <c r="D26" s="129"/>
      <c r="E26" s="129"/>
      <c r="F26" s="130"/>
      <c r="G26" s="22"/>
      <c r="H26" s="23" t="s">
        <v>27</v>
      </c>
      <c r="I26" s="23" t="s">
        <v>29</v>
      </c>
      <c r="J26" s="23"/>
      <c r="K26" s="23"/>
      <c r="L26" s="23"/>
      <c r="M26" s="23"/>
      <c r="N26" s="23"/>
      <c r="O26" s="23"/>
      <c r="P26" s="49"/>
      <c r="Q26" s="119"/>
      <c r="R26" s="119"/>
      <c r="S26" s="119"/>
      <c r="T26" s="119"/>
      <c r="U26" s="120"/>
      <c r="V26" s="101"/>
      <c r="W26" s="102"/>
      <c r="X26" s="102"/>
      <c r="Z26" s="7"/>
    </row>
    <row r="27" spans="1:26" x14ac:dyDescent="0.4">
      <c r="A27" s="7"/>
      <c r="B27" s="128"/>
      <c r="C27" s="129"/>
      <c r="D27" s="129"/>
      <c r="E27" s="129"/>
      <c r="F27" s="130"/>
      <c r="G27" s="2" t="s">
        <v>31</v>
      </c>
      <c r="P27" s="50"/>
      <c r="Q27" s="119"/>
      <c r="R27" s="119"/>
      <c r="S27" s="119"/>
      <c r="T27" s="119"/>
      <c r="U27" s="120"/>
      <c r="V27" s="103"/>
      <c r="W27" s="104"/>
      <c r="X27" s="104"/>
      <c r="Y27" s="12" t="s">
        <v>36</v>
      </c>
      <c r="Z27" s="13"/>
    </row>
    <row r="28" spans="1:26" x14ac:dyDescent="0.4">
      <c r="A28" s="7"/>
      <c r="B28" s="131"/>
      <c r="C28" s="132"/>
      <c r="D28" s="132"/>
      <c r="E28" s="132"/>
      <c r="F28" s="133"/>
      <c r="G28" s="5" t="s">
        <v>30</v>
      </c>
      <c r="H28" s="5" t="s">
        <v>32</v>
      </c>
      <c r="I28" s="5"/>
      <c r="J28" s="5"/>
      <c r="K28" s="5"/>
      <c r="L28" s="5"/>
      <c r="M28" s="5"/>
      <c r="N28" s="5"/>
      <c r="O28" s="5"/>
      <c r="P28" s="51"/>
      <c r="Q28" s="122"/>
      <c r="R28" s="122"/>
      <c r="S28" s="122"/>
      <c r="T28" s="122"/>
      <c r="U28" s="123"/>
      <c r="V28" s="31" t="s">
        <v>84</v>
      </c>
      <c r="W28" s="31"/>
      <c r="X28" s="105" t="str">
        <f>IF(COUNTA(V23,V26)&gt;0,V23+V26,"")</f>
        <v/>
      </c>
      <c r="Y28" s="105"/>
      <c r="Z28" s="11" t="s">
        <v>36</v>
      </c>
    </row>
    <row r="29" spans="1:26" x14ac:dyDescent="0.4">
      <c r="A29" s="7"/>
      <c r="B29" s="66" t="s">
        <v>38</v>
      </c>
      <c r="C29" s="106"/>
      <c r="D29" s="106"/>
      <c r="E29" s="106"/>
      <c r="F29" s="107"/>
      <c r="G29" s="90"/>
      <c r="H29" s="90"/>
      <c r="I29" s="90"/>
      <c r="J29" s="90"/>
      <c r="K29" s="90"/>
      <c r="L29" s="90"/>
      <c r="M29" s="90"/>
      <c r="N29" s="90"/>
      <c r="O29" s="90"/>
      <c r="P29" s="90"/>
      <c r="Q29" s="90"/>
      <c r="R29" s="90"/>
      <c r="S29" s="90"/>
      <c r="T29" s="90"/>
      <c r="U29" s="90"/>
      <c r="V29" s="90"/>
      <c r="W29" s="90"/>
      <c r="X29" s="90"/>
      <c r="Y29" s="90"/>
      <c r="Z29" s="91"/>
    </row>
    <row r="30" spans="1:26" x14ac:dyDescent="0.4">
      <c r="A30" s="7"/>
      <c r="B30" s="108"/>
      <c r="C30" s="102"/>
      <c r="D30" s="102"/>
      <c r="E30" s="102"/>
      <c r="F30" s="109"/>
      <c r="G30" s="92"/>
      <c r="H30" s="92"/>
      <c r="I30" s="92"/>
      <c r="J30" s="92"/>
      <c r="K30" s="92"/>
      <c r="L30" s="92"/>
      <c r="M30" s="92"/>
      <c r="N30" s="92"/>
      <c r="O30" s="92"/>
      <c r="P30" s="92"/>
      <c r="Q30" s="92"/>
      <c r="R30" s="92"/>
      <c r="S30" s="92"/>
      <c r="T30" s="92"/>
      <c r="U30" s="92"/>
      <c r="V30" s="92"/>
      <c r="W30" s="92"/>
      <c r="X30" s="92"/>
      <c r="Y30" s="92"/>
      <c r="Z30" s="93"/>
    </row>
    <row r="31" spans="1:26" x14ac:dyDescent="0.4">
      <c r="A31" s="7"/>
      <c r="B31" s="110"/>
      <c r="C31" s="105"/>
      <c r="D31" s="105"/>
      <c r="E31" s="105"/>
      <c r="F31" s="111"/>
      <c r="G31" s="94"/>
      <c r="H31" s="94"/>
      <c r="I31" s="94"/>
      <c r="J31" s="94"/>
      <c r="K31" s="94"/>
      <c r="L31" s="94"/>
      <c r="M31" s="94"/>
      <c r="N31" s="94"/>
      <c r="O31" s="94"/>
      <c r="P31" s="94"/>
      <c r="Q31" s="94"/>
      <c r="R31" s="94"/>
      <c r="S31" s="94"/>
      <c r="T31" s="94"/>
      <c r="U31" s="94"/>
      <c r="V31" s="94"/>
      <c r="W31" s="94"/>
      <c r="X31" s="94"/>
      <c r="Y31" s="94"/>
      <c r="Z31" s="95"/>
    </row>
    <row r="32" spans="1:26" ht="16.2" customHeight="1" x14ac:dyDescent="0.4">
      <c r="A32" s="7"/>
      <c r="B32" s="156" t="s">
        <v>110</v>
      </c>
      <c r="C32" s="157"/>
      <c r="D32" s="157"/>
      <c r="E32" s="157"/>
      <c r="F32" s="158"/>
      <c r="G32" s="154"/>
      <c r="H32" s="4" t="s">
        <v>40</v>
      </c>
      <c r="I32" s="4"/>
      <c r="J32" s="4"/>
      <c r="K32" s="55"/>
      <c r="L32" s="55"/>
      <c r="M32" s="55"/>
      <c r="N32" s="4"/>
      <c r="O32" s="4"/>
      <c r="P32" s="4"/>
      <c r="Q32" s="74" t="s">
        <v>39</v>
      </c>
      <c r="R32" s="75"/>
      <c r="S32" s="76"/>
      <c r="T32" s="52"/>
      <c r="U32" s="53"/>
      <c r="V32" s="53"/>
      <c r="W32" s="53"/>
      <c r="X32" s="53"/>
      <c r="Y32" s="53"/>
      <c r="Z32" s="54"/>
    </row>
    <row r="33" spans="1:26" ht="18" customHeight="1" x14ac:dyDescent="0.4">
      <c r="A33" s="7"/>
      <c r="B33" s="159"/>
      <c r="C33" s="160"/>
      <c r="D33" s="160"/>
      <c r="E33" s="160"/>
      <c r="F33" s="161"/>
      <c r="G33" s="155"/>
      <c r="H33" s="27"/>
      <c r="I33" s="27"/>
      <c r="J33" s="28"/>
      <c r="K33" s="112"/>
      <c r="L33" s="113"/>
      <c r="M33" s="114"/>
      <c r="N33" s="27" t="s">
        <v>41</v>
      </c>
      <c r="O33" s="27"/>
      <c r="P33" s="27"/>
      <c r="Q33" s="77"/>
      <c r="R33" s="78"/>
      <c r="S33" s="79"/>
      <c r="T33" s="58"/>
      <c r="U33" s="8"/>
      <c r="V33" s="8"/>
      <c r="W33" s="59"/>
      <c r="X33" s="59"/>
      <c r="Y33" s="59"/>
      <c r="Z33" s="60"/>
    </row>
    <row r="34" spans="1:26" ht="18" customHeight="1" x14ac:dyDescent="0.4">
      <c r="A34" s="7"/>
      <c r="B34" s="159"/>
      <c r="C34" s="160"/>
      <c r="D34" s="160"/>
      <c r="E34" s="160"/>
      <c r="F34" s="161"/>
      <c r="G34" s="29"/>
      <c r="H34" s="30" t="s">
        <v>42</v>
      </c>
      <c r="I34" s="30"/>
      <c r="J34" s="30"/>
      <c r="K34" s="30"/>
      <c r="L34" s="30"/>
      <c r="M34" s="30"/>
      <c r="N34" s="30"/>
      <c r="O34" s="30"/>
      <c r="P34" s="30"/>
      <c r="Q34" s="77"/>
      <c r="R34" s="78"/>
      <c r="S34" s="79"/>
      <c r="T34" s="57"/>
      <c r="U34" s="12"/>
      <c r="V34" s="12"/>
      <c r="W34" s="27"/>
      <c r="X34" s="27"/>
      <c r="Y34" s="27"/>
      <c r="Z34" s="56"/>
    </row>
    <row r="35" spans="1:26" ht="18" customHeight="1" x14ac:dyDescent="0.4">
      <c r="A35" s="7"/>
      <c r="B35" s="159"/>
      <c r="C35" s="160"/>
      <c r="D35" s="160"/>
      <c r="E35" s="160"/>
      <c r="F35" s="161"/>
      <c r="G35" s="29"/>
      <c r="H35" s="30" t="s">
        <v>45</v>
      </c>
      <c r="I35" s="30"/>
      <c r="J35" s="30"/>
      <c r="K35" s="30"/>
      <c r="L35" s="30"/>
      <c r="M35" s="30"/>
      <c r="N35" s="30"/>
      <c r="O35" s="30"/>
      <c r="P35" s="30"/>
      <c r="Q35" s="77"/>
      <c r="R35" s="78"/>
      <c r="S35" s="79"/>
      <c r="T35" s="25"/>
      <c r="U35" s="23" t="s">
        <v>97</v>
      </c>
      <c r="V35" s="22"/>
      <c r="W35" s="61" t="s">
        <v>99</v>
      </c>
      <c r="X35" s="61"/>
      <c r="Y35" s="61"/>
      <c r="Z35" s="62"/>
    </row>
    <row r="36" spans="1:26" ht="18" customHeight="1" x14ac:dyDescent="0.4">
      <c r="A36" s="7"/>
      <c r="B36" s="159"/>
      <c r="C36" s="160"/>
      <c r="D36" s="160"/>
      <c r="E36" s="160"/>
      <c r="F36" s="161"/>
      <c r="G36" s="29"/>
      <c r="H36" s="30" t="s">
        <v>46</v>
      </c>
      <c r="I36" s="30"/>
      <c r="J36" s="30"/>
      <c r="K36" s="30"/>
      <c r="L36" s="30"/>
      <c r="M36" s="30"/>
      <c r="N36" s="30"/>
      <c r="O36" s="30"/>
      <c r="P36" s="30"/>
      <c r="Q36" s="77"/>
      <c r="R36" s="78"/>
      <c r="S36" s="79"/>
      <c r="T36" s="25"/>
      <c r="U36" s="23" t="s">
        <v>98</v>
      </c>
      <c r="V36" s="22"/>
      <c r="W36" s="63"/>
      <c r="X36" s="63"/>
      <c r="Y36" s="63"/>
      <c r="Z36" s="64"/>
    </row>
    <row r="37" spans="1:26" x14ac:dyDescent="0.4">
      <c r="A37" s="7"/>
      <c r="B37" s="159"/>
      <c r="C37" s="160"/>
      <c r="D37" s="160"/>
      <c r="E37" s="160"/>
      <c r="F37" s="161"/>
      <c r="G37" s="29"/>
      <c r="H37" s="26" t="s">
        <v>43</v>
      </c>
      <c r="I37" s="27"/>
      <c r="J37" s="27"/>
      <c r="K37" s="27"/>
      <c r="L37" s="27"/>
      <c r="M37" s="27"/>
      <c r="N37" s="27"/>
      <c r="O37" s="27"/>
      <c r="P37" s="27"/>
      <c r="Q37" s="77"/>
      <c r="R37" s="78"/>
      <c r="S37" s="79"/>
      <c r="T37" s="25"/>
      <c r="U37" s="23" t="s">
        <v>100</v>
      </c>
      <c r="V37" s="23"/>
      <c r="W37" s="23"/>
      <c r="X37" s="23"/>
      <c r="Y37" s="23"/>
      <c r="Z37" s="24"/>
    </row>
    <row r="38" spans="1:26" x14ac:dyDescent="0.4">
      <c r="A38" s="7"/>
      <c r="B38" s="159"/>
      <c r="C38" s="160"/>
      <c r="D38" s="160"/>
      <c r="E38" s="160"/>
      <c r="F38" s="161"/>
      <c r="G38" s="165"/>
      <c r="H38" s="166" t="s">
        <v>111</v>
      </c>
      <c r="I38" s="166"/>
      <c r="J38" s="166"/>
      <c r="K38" s="166"/>
      <c r="L38" s="166"/>
      <c r="M38" s="166"/>
      <c r="N38" s="166"/>
      <c r="O38" s="166"/>
      <c r="P38" s="166"/>
      <c r="Q38" s="77"/>
      <c r="R38" s="78"/>
      <c r="S38" s="79"/>
      <c r="Z38" s="7"/>
    </row>
    <row r="39" spans="1:26" x14ac:dyDescent="0.4">
      <c r="A39" s="7"/>
      <c r="B39" s="159"/>
      <c r="C39" s="160"/>
      <c r="D39" s="160"/>
      <c r="E39" s="160"/>
      <c r="F39" s="161"/>
      <c r="H39" s="115" t="s">
        <v>44</v>
      </c>
      <c r="I39" s="115"/>
      <c r="J39" s="115"/>
      <c r="K39" s="115"/>
      <c r="L39" s="115"/>
      <c r="M39" s="115"/>
      <c r="N39" s="115"/>
      <c r="O39" s="115"/>
      <c r="P39" s="115"/>
      <c r="Q39" s="77"/>
      <c r="R39" s="78"/>
      <c r="S39" s="79"/>
      <c r="Z39" s="7"/>
    </row>
    <row r="40" spans="1:26" x14ac:dyDescent="0.4">
      <c r="A40" s="7"/>
      <c r="B40" s="162"/>
      <c r="C40" s="163"/>
      <c r="D40" s="163"/>
      <c r="E40" s="163"/>
      <c r="F40" s="164"/>
      <c r="G40" s="5"/>
      <c r="H40" s="5"/>
      <c r="I40" s="5"/>
      <c r="J40" s="5"/>
      <c r="K40" s="5"/>
      <c r="L40" s="5"/>
      <c r="M40" s="5"/>
      <c r="N40" s="5"/>
      <c r="O40" s="5"/>
      <c r="P40" s="5"/>
      <c r="Q40" s="80"/>
      <c r="R40" s="81"/>
      <c r="S40" s="82"/>
      <c r="T40" s="5"/>
      <c r="U40" s="5"/>
      <c r="V40" s="5"/>
      <c r="W40" s="5"/>
      <c r="X40" s="5"/>
      <c r="Y40" s="5"/>
      <c r="Z40" s="11"/>
    </row>
    <row r="41" spans="1:26" ht="16.2" customHeight="1" x14ac:dyDescent="0.4">
      <c r="A41" s="7"/>
      <c r="B41" s="66" t="s">
        <v>47</v>
      </c>
      <c r="C41" s="67"/>
      <c r="D41" s="67"/>
      <c r="E41" s="67"/>
      <c r="F41" s="68"/>
      <c r="G41" s="72" t="s">
        <v>106</v>
      </c>
      <c r="H41" s="72"/>
      <c r="I41" s="72"/>
      <c r="J41" s="72"/>
      <c r="K41" s="72"/>
      <c r="L41" s="72"/>
      <c r="M41" s="72"/>
      <c r="N41" s="72"/>
      <c r="O41" s="72"/>
      <c r="P41" s="72"/>
      <c r="Q41" s="72"/>
      <c r="R41" s="72"/>
      <c r="S41" s="72"/>
      <c r="T41" s="72"/>
      <c r="U41" s="72"/>
      <c r="V41" s="72"/>
      <c r="W41" s="72"/>
      <c r="X41" s="72"/>
      <c r="Y41" s="72"/>
      <c r="Z41" s="7"/>
    </row>
    <row r="42" spans="1:26" ht="16.8" thickBot="1" x14ac:dyDescent="0.45">
      <c r="A42" s="7"/>
      <c r="B42" s="69"/>
      <c r="C42" s="70"/>
      <c r="D42" s="70"/>
      <c r="E42" s="70"/>
      <c r="F42" s="71"/>
      <c r="G42" s="73"/>
      <c r="H42" s="73"/>
      <c r="I42" s="73"/>
      <c r="J42" s="73"/>
      <c r="K42" s="73"/>
      <c r="L42" s="73"/>
      <c r="M42" s="73"/>
      <c r="N42" s="73"/>
      <c r="O42" s="73"/>
      <c r="P42" s="73"/>
      <c r="Q42" s="73"/>
      <c r="R42" s="73"/>
      <c r="S42" s="73"/>
      <c r="T42" s="73"/>
      <c r="U42" s="73"/>
      <c r="V42" s="73"/>
      <c r="W42" s="73"/>
      <c r="X42" s="73"/>
      <c r="Y42" s="73"/>
      <c r="Z42" s="9"/>
    </row>
    <row r="43" spans="1:26" x14ac:dyDescent="0.4">
      <c r="B43" s="47" t="s">
        <v>48</v>
      </c>
    </row>
  </sheetData>
  <mergeCells count="33">
    <mergeCell ref="G32:G33"/>
    <mergeCell ref="H39:P39"/>
    <mergeCell ref="A5:A21"/>
    <mergeCell ref="B17:F19"/>
    <mergeCell ref="B20:F21"/>
    <mergeCell ref="U5:Z5"/>
    <mergeCell ref="Q6:V6"/>
    <mergeCell ref="Q9:Z9"/>
    <mergeCell ref="Q7:Z8"/>
    <mergeCell ref="T10:Z10"/>
    <mergeCell ref="G21:I21"/>
    <mergeCell ref="B22:F28"/>
    <mergeCell ref="Q22:U28"/>
    <mergeCell ref="V23:X24"/>
    <mergeCell ref="T11:Z11"/>
    <mergeCell ref="T12:Z12"/>
    <mergeCell ref="T13:Z13"/>
    <mergeCell ref="W35:Z36"/>
    <mergeCell ref="R5:T5"/>
    <mergeCell ref="B41:F42"/>
    <mergeCell ref="G41:Y42"/>
    <mergeCell ref="Q32:S40"/>
    <mergeCell ref="G17:Z19"/>
    <mergeCell ref="G29:Z31"/>
    <mergeCell ref="J20:Z20"/>
    <mergeCell ref="J21:Z21"/>
    <mergeCell ref="V26:X27"/>
    <mergeCell ref="X28:Y28"/>
    <mergeCell ref="B29:F31"/>
    <mergeCell ref="K33:M33"/>
    <mergeCell ref="H38:P38"/>
    <mergeCell ref="B32:F40"/>
    <mergeCell ref="G20:I20"/>
  </mergeCells>
  <phoneticPr fontId="1"/>
  <pageMargins left="0.7" right="0.7" top="0.75" bottom="0.75" header="0.3" footer="0.3"/>
  <pageSetup paperSize="9" scale="9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F43"/>
  <sheetViews>
    <sheetView tabSelected="1" view="pageBreakPreview" zoomScale="130" zoomScaleNormal="130" zoomScaleSheetLayoutView="130" workbookViewId="0">
      <selection activeCell="Q6" sqref="Q6:V6"/>
    </sheetView>
  </sheetViews>
  <sheetFormatPr defaultColWidth="3" defaultRowHeight="16.2" x14ac:dyDescent="0.4"/>
  <cols>
    <col min="1" max="16384" width="3" style="2"/>
  </cols>
  <sheetData>
    <row r="2" spans="1:32" x14ac:dyDescent="0.4">
      <c r="F2" s="2" t="s">
        <v>0</v>
      </c>
    </row>
    <row r="3" spans="1:32" ht="16.8" thickBot="1" x14ac:dyDescent="0.45">
      <c r="B3" s="6" t="s">
        <v>1</v>
      </c>
      <c r="C3" s="6"/>
      <c r="D3" s="6"/>
      <c r="E3" s="6"/>
      <c r="F3" s="6"/>
      <c r="G3" s="6"/>
      <c r="H3" s="6"/>
      <c r="I3" s="6"/>
      <c r="J3" s="6"/>
      <c r="K3" s="6"/>
      <c r="L3" s="6"/>
      <c r="M3" s="6"/>
      <c r="N3" s="6"/>
      <c r="O3" s="6"/>
      <c r="P3" s="6"/>
      <c r="Q3" s="6"/>
      <c r="R3" s="6"/>
      <c r="S3" s="6"/>
      <c r="T3" s="6"/>
      <c r="U3" s="6"/>
      <c r="V3" s="6"/>
      <c r="W3" s="6"/>
      <c r="X3" s="6"/>
      <c r="Y3" s="6"/>
      <c r="Z3" s="6"/>
    </row>
    <row r="4" spans="1:32" x14ac:dyDescent="0.4">
      <c r="A4" s="7"/>
      <c r="Z4" s="7"/>
    </row>
    <row r="5" spans="1:32" x14ac:dyDescent="0.4">
      <c r="A5" s="136" t="s">
        <v>95</v>
      </c>
      <c r="R5" s="2" t="s">
        <v>2</v>
      </c>
      <c r="U5" s="146">
        <v>45383</v>
      </c>
      <c r="V5" s="146"/>
      <c r="W5" s="146"/>
      <c r="X5" s="146"/>
      <c r="Y5" s="146"/>
      <c r="Z5" s="147"/>
    </row>
    <row r="6" spans="1:32" x14ac:dyDescent="0.4">
      <c r="A6" s="136"/>
      <c r="P6" s="2" t="s">
        <v>3</v>
      </c>
      <c r="Q6" s="148" t="s">
        <v>109</v>
      </c>
      <c r="R6" s="148"/>
      <c r="S6" s="148"/>
      <c r="T6" s="148"/>
      <c r="U6" s="148"/>
      <c r="V6" s="148"/>
      <c r="Z6" s="7"/>
    </row>
    <row r="7" spans="1:32" x14ac:dyDescent="0.4">
      <c r="A7" s="136"/>
      <c r="O7" s="2" t="s">
        <v>4</v>
      </c>
      <c r="Q7" s="86" t="s">
        <v>108</v>
      </c>
      <c r="R7" s="86"/>
      <c r="S7" s="86"/>
      <c r="T7" s="86"/>
      <c r="U7" s="86"/>
      <c r="V7" s="86"/>
      <c r="W7" s="86"/>
      <c r="X7" s="86"/>
      <c r="Y7" s="86"/>
      <c r="Z7" s="87"/>
      <c r="AF7" s="3"/>
    </row>
    <row r="8" spans="1:32" x14ac:dyDescent="0.4">
      <c r="A8" s="136"/>
      <c r="Q8" s="86"/>
      <c r="R8" s="86"/>
      <c r="S8" s="86"/>
      <c r="T8" s="86"/>
      <c r="U8" s="86"/>
      <c r="V8" s="86"/>
      <c r="W8" s="86"/>
      <c r="X8" s="86"/>
      <c r="Y8" s="86"/>
      <c r="Z8" s="87"/>
    </row>
    <row r="9" spans="1:32" x14ac:dyDescent="0.4">
      <c r="A9" s="136"/>
      <c r="L9" s="2" t="s">
        <v>6</v>
      </c>
      <c r="O9" s="2" t="s">
        <v>5</v>
      </c>
      <c r="Q9" s="134" t="s">
        <v>101</v>
      </c>
      <c r="R9" s="134"/>
      <c r="S9" s="134"/>
      <c r="T9" s="134"/>
      <c r="U9" s="134"/>
      <c r="V9" s="134"/>
      <c r="W9" s="134"/>
      <c r="X9" s="134"/>
      <c r="Y9" s="134"/>
      <c r="Z9" s="135"/>
    </row>
    <row r="10" spans="1:32" x14ac:dyDescent="0.4">
      <c r="A10" s="136"/>
      <c r="O10" s="2" t="s">
        <v>8</v>
      </c>
      <c r="Q10" s="8" t="s">
        <v>30</v>
      </c>
      <c r="R10" s="8" t="s">
        <v>9</v>
      </c>
      <c r="S10" s="8"/>
      <c r="T10" s="134" t="s">
        <v>102</v>
      </c>
      <c r="U10" s="134"/>
      <c r="V10" s="134"/>
      <c r="W10" s="134"/>
      <c r="X10" s="134"/>
      <c r="Y10" s="134"/>
      <c r="Z10" s="135"/>
    </row>
    <row r="11" spans="1:32" x14ac:dyDescent="0.4">
      <c r="A11" s="136"/>
      <c r="Q11" s="8"/>
      <c r="R11" s="8" t="s">
        <v>10</v>
      </c>
      <c r="S11" s="8"/>
      <c r="T11" s="134" t="s">
        <v>79</v>
      </c>
      <c r="U11" s="134"/>
      <c r="V11" s="134"/>
      <c r="W11" s="134"/>
      <c r="X11" s="134"/>
      <c r="Y11" s="134"/>
      <c r="Z11" s="135"/>
    </row>
    <row r="12" spans="1:32" x14ac:dyDescent="0.4">
      <c r="A12" s="136"/>
      <c r="P12" s="2" t="s">
        <v>11</v>
      </c>
      <c r="Q12" s="8"/>
      <c r="R12" s="8"/>
      <c r="S12" s="8"/>
      <c r="T12" s="134" t="s">
        <v>80</v>
      </c>
      <c r="U12" s="134"/>
      <c r="V12" s="134"/>
      <c r="W12" s="134"/>
      <c r="X12" s="134"/>
      <c r="Y12" s="134"/>
      <c r="Z12" s="135"/>
    </row>
    <row r="13" spans="1:32" x14ac:dyDescent="0.4">
      <c r="A13" s="136"/>
      <c r="P13" s="2" t="s">
        <v>12</v>
      </c>
      <c r="Q13" s="8"/>
      <c r="R13" s="8" t="s">
        <v>13</v>
      </c>
      <c r="S13" s="8"/>
      <c r="T13" s="134" t="s">
        <v>81</v>
      </c>
      <c r="U13" s="134"/>
      <c r="V13" s="134"/>
      <c r="W13" s="134"/>
      <c r="X13" s="134"/>
      <c r="Y13" s="134"/>
      <c r="Z13" s="135"/>
    </row>
    <row r="14" spans="1:32" x14ac:dyDescent="0.4">
      <c r="A14" s="136"/>
      <c r="Z14" s="7"/>
    </row>
    <row r="15" spans="1:32" x14ac:dyDescent="0.4">
      <c r="A15" s="136"/>
      <c r="B15" s="2" t="s">
        <v>15</v>
      </c>
      <c r="Z15" s="7"/>
    </row>
    <row r="16" spans="1:32" x14ac:dyDescent="0.4">
      <c r="A16" s="136"/>
      <c r="B16" s="10" t="s">
        <v>16</v>
      </c>
      <c r="C16" s="5"/>
      <c r="D16" s="5"/>
      <c r="E16" s="5"/>
      <c r="F16" s="5"/>
      <c r="G16" s="5"/>
      <c r="H16" s="5"/>
      <c r="I16" s="5"/>
      <c r="J16" s="5"/>
      <c r="K16" s="5"/>
      <c r="L16" s="5"/>
      <c r="M16" s="5"/>
      <c r="N16" s="5"/>
      <c r="O16" s="5"/>
      <c r="P16" s="5"/>
      <c r="Q16" s="5"/>
      <c r="R16" s="5"/>
      <c r="S16" s="5"/>
      <c r="T16" s="5"/>
      <c r="U16" s="5"/>
      <c r="V16" s="5"/>
      <c r="W16" s="5"/>
      <c r="X16" s="5"/>
      <c r="Y16" s="5"/>
      <c r="Z16" s="11"/>
    </row>
    <row r="17" spans="1:26" x14ac:dyDescent="0.4">
      <c r="A17" s="136"/>
      <c r="B17" s="137" t="s">
        <v>14</v>
      </c>
      <c r="C17" s="138"/>
      <c r="D17" s="138"/>
      <c r="E17" s="138"/>
      <c r="F17" s="139"/>
      <c r="G17" s="83" t="s">
        <v>96</v>
      </c>
      <c r="H17" s="84"/>
      <c r="I17" s="84"/>
      <c r="J17" s="84"/>
      <c r="K17" s="84"/>
      <c r="L17" s="84"/>
      <c r="M17" s="84"/>
      <c r="N17" s="84"/>
      <c r="O17" s="84"/>
      <c r="P17" s="84"/>
      <c r="Q17" s="84"/>
      <c r="R17" s="84"/>
      <c r="S17" s="84"/>
      <c r="T17" s="84"/>
      <c r="U17" s="84"/>
      <c r="V17" s="84"/>
      <c r="W17" s="84"/>
      <c r="X17" s="84"/>
      <c r="Y17" s="84"/>
      <c r="Z17" s="85"/>
    </row>
    <row r="18" spans="1:26" x14ac:dyDescent="0.4">
      <c r="A18" s="136"/>
      <c r="B18" s="140"/>
      <c r="C18" s="141"/>
      <c r="D18" s="141"/>
      <c r="E18" s="141"/>
      <c r="F18" s="142"/>
      <c r="G18" s="86"/>
      <c r="H18" s="86"/>
      <c r="I18" s="86"/>
      <c r="J18" s="86"/>
      <c r="K18" s="86"/>
      <c r="L18" s="86"/>
      <c r="M18" s="86"/>
      <c r="N18" s="86"/>
      <c r="O18" s="86"/>
      <c r="P18" s="86"/>
      <c r="Q18" s="86"/>
      <c r="R18" s="86"/>
      <c r="S18" s="86"/>
      <c r="T18" s="86"/>
      <c r="U18" s="86"/>
      <c r="V18" s="86"/>
      <c r="W18" s="86"/>
      <c r="X18" s="86"/>
      <c r="Y18" s="86"/>
      <c r="Z18" s="87"/>
    </row>
    <row r="19" spans="1:26" x14ac:dyDescent="0.4">
      <c r="A19" s="136"/>
      <c r="B19" s="143"/>
      <c r="C19" s="144"/>
      <c r="D19" s="144"/>
      <c r="E19" s="144"/>
      <c r="F19" s="145"/>
      <c r="G19" s="88"/>
      <c r="H19" s="88"/>
      <c r="I19" s="88"/>
      <c r="J19" s="88"/>
      <c r="K19" s="88"/>
      <c r="L19" s="88"/>
      <c r="M19" s="88"/>
      <c r="N19" s="88"/>
      <c r="O19" s="88"/>
      <c r="P19" s="88"/>
      <c r="Q19" s="88"/>
      <c r="R19" s="88"/>
      <c r="S19" s="88"/>
      <c r="T19" s="88"/>
      <c r="U19" s="88"/>
      <c r="V19" s="88"/>
      <c r="W19" s="88"/>
      <c r="X19" s="88"/>
      <c r="Y19" s="88"/>
      <c r="Z19" s="89"/>
    </row>
    <row r="20" spans="1:26" x14ac:dyDescent="0.4">
      <c r="A20" s="136"/>
      <c r="B20" s="116" t="s">
        <v>17</v>
      </c>
      <c r="C20" s="117"/>
      <c r="D20" s="117"/>
      <c r="E20" s="117"/>
      <c r="F20" s="118"/>
      <c r="G20" s="96" t="s">
        <v>18</v>
      </c>
      <c r="H20" s="96"/>
      <c r="I20" s="96"/>
      <c r="J20" s="96" t="s">
        <v>82</v>
      </c>
      <c r="K20" s="96"/>
      <c r="L20" s="96"/>
      <c r="M20" s="96"/>
      <c r="N20" s="96"/>
      <c r="O20" s="96"/>
      <c r="P20" s="96"/>
      <c r="Q20" s="96"/>
      <c r="R20" s="96"/>
      <c r="S20" s="96"/>
      <c r="T20" s="96"/>
      <c r="U20" s="96"/>
      <c r="V20" s="96"/>
      <c r="W20" s="96"/>
      <c r="X20" s="96"/>
      <c r="Y20" s="96"/>
      <c r="Z20" s="97"/>
    </row>
    <row r="21" spans="1:26" x14ac:dyDescent="0.4">
      <c r="A21" s="136"/>
      <c r="B21" s="121"/>
      <c r="C21" s="122"/>
      <c r="D21" s="122"/>
      <c r="E21" s="122"/>
      <c r="F21" s="123"/>
      <c r="G21" s="153" t="s">
        <v>19</v>
      </c>
      <c r="H21" s="153"/>
      <c r="I21" s="153"/>
      <c r="J21" s="96" t="s">
        <v>83</v>
      </c>
      <c r="K21" s="96"/>
      <c r="L21" s="96"/>
      <c r="M21" s="96"/>
      <c r="N21" s="96"/>
      <c r="O21" s="96"/>
      <c r="P21" s="96"/>
      <c r="Q21" s="96"/>
      <c r="R21" s="96"/>
      <c r="S21" s="96"/>
      <c r="T21" s="96"/>
      <c r="U21" s="96"/>
      <c r="V21" s="96"/>
      <c r="W21" s="96"/>
      <c r="X21" s="96"/>
      <c r="Y21" s="96"/>
      <c r="Z21" s="97"/>
    </row>
    <row r="22" spans="1:26" x14ac:dyDescent="0.4">
      <c r="A22" s="7"/>
      <c r="B22" s="125" t="s">
        <v>33</v>
      </c>
      <c r="C22" s="126"/>
      <c r="D22" s="126"/>
      <c r="E22" s="126"/>
      <c r="F22" s="127"/>
      <c r="G22" s="20">
        <v>1</v>
      </c>
      <c r="H22" s="21" t="s">
        <v>20</v>
      </c>
      <c r="I22" s="21" t="s">
        <v>21</v>
      </c>
      <c r="J22" s="21"/>
      <c r="K22" s="21"/>
      <c r="L22" s="21"/>
      <c r="M22" s="21"/>
      <c r="N22" s="21"/>
      <c r="O22" s="21"/>
      <c r="P22" s="21"/>
      <c r="Q22" s="117" t="s">
        <v>34</v>
      </c>
      <c r="R22" s="117"/>
      <c r="S22" s="117"/>
      <c r="T22" s="117"/>
      <c r="U22" s="118"/>
      <c r="V22" s="8" t="s">
        <v>35</v>
      </c>
      <c r="W22" s="8"/>
      <c r="X22" s="8"/>
      <c r="Z22" s="7"/>
    </row>
    <row r="23" spans="1:26" x14ac:dyDescent="0.4">
      <c r="A23" s="7"/>
      <c r="B23" s="128"/>
      <c r="C23" s="129"/>
      <c r="D23" s="129"/>
      <c r="E23" s="129"/>
      <c r="F23" s="130"/>
      <c r="G23" s="22">
        <v>1</v>
      </c>
      <c r="H23" s="23" t="s">
        <v>22</v>
      </c>
      <c r="I23" s="23" t="s">
        <v>24</v>
      </c>
      <c r="J23" s="23"/>
      <c r="K23" s="23"/>
      <c r="L23" s="23"/>
      <c r="M23" s="23"/>
      <c r="N23" s="23"/>
      <c r="O23" s="23"/>
      <c r="P23" s="23"/>
      <c r="Q23" s="119"/>
      <c r="R23" s="119"/>
      <c r="S23" s="119"/>
      <c r="T23" s="119"/>
      <c r="U23" s="120"/>
      <c r="V23" s="102">
        <v>50</v>
      </c>
      <c r="W23" s="102"/>
      <c r="X23" s="102"/>
      <c r="Z23" s="7"/>
    </row>
    <row r="24" spans="1:26" x14ac:dyDescent="0.4">
      <c r="A24" s="7"/>
      <c r="B24" s="128"/>
      <c r="C24" s="129"/>
      <c r="D24" s="129"/>
      <c r="E24" s="129"/>
      <c r="F24" s="130"/>
      <c r="G24" s="22"/>
      <c r="H24" s="23" t="s">
        <v>23</v>
      </c>
      <c r="I24" s="23" t="s">
        <v>26</v>
      </c>
      <c r="J24" s="23"/>
      <c r="K24" s="23"/>
      <c r="L24" s="23"/>
      <c r="M24" s="23"/>
      <c r="N24" s="23"/>
      <c r="O24" s="23"/>
      <c r="P24" s="23"/>
      <c r="Q24" s="119"/>
      <c r="R24" s="119"/>
      <c r="S24" s="119"/>
      <c r="T24" s="119"/>
      <c r="U24" s="120"/>
      <c r="V24" s="104"/>
      <c r="W24" s="104"/>
      <c r="X24" s="104"/>
      <c r="Y24" s="12" t="s">
        <v>36</v>
      </c>
      <c r="Z24" s="13"/>
    </row>
    <row r="25" spans="1:26" x14ac:dyDescent="0.4">
      <c r="A25" s="7"/>
      <c r="B25" s="128"/>
      <c r="C25" s="129"/>
      <c r="D25" s="129"/>
      <c r="E25" s="129"/>
      <c r="F25" s="130"/>
      <c r="G25" s="22"/>
      <c r="H25" s="23" t="s">
        <v>25</v>
      </c>
      <c r="I25" s="23" t="s">
        <v>28</v>
      </c>
      <c r="J25" s="23"/>
      <c r="K25" s="23"/>
      <c r="L25" s="23"/>
      <c r="M25" s="23"/>
      <c r="N25" s="23"/>
      <c r="O25" s="23"/>
      <c r="P25" s="23"/>
      <c r="Q25" s="119"/>
      <c r="R25" s="119"/>
      <c r="S25" s="119"/>
      <c r="T25" s="119"/>
      <c r="U25" s="120"/>
      <c r="V25" s="8" t="s">
        <v>37</v>
      </c>
      <c r="W25" s="8"/>
      <c r="X25" s="8"/>
      <c r="Z25" s="7"/>
    </row>
    <row r="26" spans="1:26" x14ac:dyDescent="0.4">
      <c r="A26" s="7"/>
      <c r="B26" s="128"/>
      <c r="C26" s="129"/>
      <c r="D26" s="129"/>
      <c r="E26" s="129"/>
      <c r="F26" s="130"/>
      <c r="G26" s="22"/>
      <c r="H26" s="23" t="s">
        <v>27</v>
      </c>
      <c r="I26" s="23" t="s">
        <v>29</v>
      </c>
      <c r="J26" s="23"/>
      <c r="K26" s="23"/>
      <c r="L26" s="23"/>
      <c r="M26" s="23"/>
      <c r="N26" s="23"/>
      <c r="O26" s="23"/>
      <c r="P26" s="23"/>
      <c r="Q26" s="119"/>
      <c r="R26" s="119"/>
      <c r="S26" s="119"/>
      <c r="T26" s="119"/>
      <c r="U26" s="120"/>
      <c r="V26" s="101">
        <v>1000</v>
      </c>
      <c r="W26" s="102"/>
      <c r="X26" s="102"/>
      <c r="Z26" s="7"/>
    </row>
    <row r="27" spans="1:26" x14ac:dyDescent="0.4">
      <c r="A27" s="7"/>
      <c r="B27" s="128"/>
      <c r="C27" s="129"/>
      <c r="D27" s="129"/>
      <c r="E27" s="129"/>
      <c r="F27" s="130"/>
      <c r="G27" s="2" t="s">
        <v>31</v>
      </c>
      <c r="Q27" s="119"/>
      <c r="R27" s="119"/>
      <c r="S27" s="119"/>
      <c r="T27" s="119"/>
      <c r="U27" s="120"/>
      <c r="V27" s="103"/>
      <c r="W27" s="104"/>
      <c r="X27" s="104"/>
      <c r="Y27" s="12" t="s">
        <v>36</v>
      </c>
      <c r="Z27" s="13"/>
    </row>
    <row r="28" spans="1:26" x14ac:dyDescent="0.4">
      <c r="A28" s="7"/>
      <c r="B28" s="131"/>
      <c r="C28" s="132"/>
      <c r="D28" s="132"/>
      <c r="E28" s="132"/>
      <c r="F28" s="133"/>
      <c r="G28" s="5" t="s">
        <v>30</v>
      </c>
      <c r="H28" s="5" t="s">
        <v>32</v>
      </c>
      <c r="I28" s="5"/>
      <c r="J28" s="5"/>
      <c r="K28" s="5"/>
      <c r="L28" s="5"/>
      <c r="M28" s="5"/>
      <c r="N28" s="5"/>
      <c r="O28" s="5"/>
      <c r="P28" s="5"/>
      <c r="Q28" s="122"/>
      <c r="R28" s="122"/>
      <c r="S28" s="122"/>
      <c r="T28" s="122"/>
      <c r="U28" s="123"/>
      <c r="V28" s="31" t="s">
        <v>84</v>
      </c>
      <c r="W28" s="31"/>
      <c r="X28" s="105">
        <f>IF(COUNTA(V23,V26)&gt;0,V23+V26,"")</f>
        <v>1050</v>
      </c>
      <c r="Y28" s="105"/>
      <c r="Z28" s="11" t="s">
        <v>36</v>
      </c>
    </row>
    <row r="29" spans="1:26" x14ac:dyDescent="0.4">
      <c r="A29" s="7"/>
      <c r="B29" s="66" t="s">
        <v>38</v>
      </c>
      <c r="C29" s="106"/>
      <c r="D29" s="106"/>
      <c r="E29" s="106"/>
      <c r="F29" s="107"/>
      <c r="G29" s="90" t="s">
        <v>85</v>
      </c>
      <c r="H29" s="90"/>
      <c r="I29" s="90"/>
      <c r="J29" s="90"/>
      <c r="K29" s="90"/>
      <c r="L29" s="90"/>
      <c r="M29" s="90"/>
      <c r="N29" s="90"/>
      <c r="O29" s="90"/>
      <c r="P29" s="90"/>
      <c r="Q29" s="90"/>
      <c r="R29" s="90"/>
      <c r="S29" s="90"/>
      <c r="T29" s="90"/>
      <c r="U29" s="90"/>
      <c r="V29" s="90"/>
      <c r="W29" s="90"/>
      <c r="X29" s="90"/>
      <c r="Y29" s="90"/>
      <c r="Z29" s="91"/>
    </row>
    <row r="30" spans="1:26" x14ac:dyDescent="0.4">
      <c r="A30" s="7"/>
      <c r="B30" s="108"/>
      <c r="C30" s="102"/>
      <c r="D30" s="102"/>
      <c r="E30" s="102"/>
      <c r="F30" s="109"/>
      <c r="G30" s="92"/>
      <c r="H30" s="92"/>
      <c r="I30" s="92"/>
      <c r="J30" s="92"/>
      <c r="K30" s="92"/>
      <c r="L30" s="92"/>
      <c r="M30" s="92"/>
      <c r="N30" s="92"/>
      <c r="O30" s="92"/>
      <c r="P30" s="92"/>
      <c r="Q30" s="92"/>
      <c r="R30" s="92"/>
      <c r="S30" s="92"/>
      <c r="T30" s="92"/>
      <c r="U30" s="92"/>
      <c r="V30" s="92"/>
      <c r="W30" s="92"/>
      <c r="X30" s="92"/>
      <c r="Y30" s="92"/>
      <c r="Z30" s="93"/>
    </row>
    <row r="31" spans="1:26" x14ac:dyDescent="0.4">
      <c r="A31" s="7"/>
      <c r="B31" s="110"/>
      <c r="C31" s="105"/>
      <c r="D31" s="105"/>
      <c r="E31" s="105"/>
      <c r="F31" s="111"/>
      <c r="G31" s="94"/>
      <c r="H31" s="94"/>
      <c r="I31" s="94"/>
      <c r="J31" s="94"/>
      <c r="K31" s="94"/>
      <c r="L31" s="94"/>
      <c r="M31" s="94"/>
      <c r="N31" s="94"/>
      <c r="O31" s="94"/>
      <c r="P31" s="94"/>
      <c r="Q31" s="94"/>
      <c r="R31" s="94"/>
      <c r="S31" s="94"/>
      <c r="T31" s="94"/>
      <c r="U31" s="94"/>
      <c r="V31" s="94"/>
      <c r="W31" s="94"/>
      <c r="X31" s="94"/>
      <c r="Y31" s="94"/>
      <c r="Z31" s="95"/>
    </row>
    <row r="32" spans="1:26" ht="16.2" customHeight="1" x14ac:dyDescent="0.4">
      <c r="A32" s="7"/>
      <c r="B32" s="156" t="s">
        <v>110</v>
      </c>
      <c r="C32" s="157"/>
      <c r="D32" s="157"/>
      <c r="E32" s="157"/>
      <c r="F32" s="158"/>
      <c r="G32" s="154">
        <v>1</v>
      </c>
      <c r="H32" s="4" t="s">
        <v>40</v>
      </c>
      <c r="I32" s="4"/>
      <c r="J32" s="4"/>
      <c r="K32" s="55"/>
      <c r="L32" s="55"/>
      <c r="M32" s="55"/>
      <c r="N32" s="4"/>
      <c r="O32" s="4"/>
      <c r="P32" s="4"/>
      <c r="Q32" s="74" t="s">
        <v>39</v>
      </c>
      <c r="R32" s="75"/>
      <c r="S32" s="76"/>
      <c r="T32" s="52"/>
      <c r="U32" s="53"/>
      <c r="V32" s="53"/>
      <c r="W32" s="53"/>
      <c r="X32" s="53"/>
      <c r="Y32" s="53"/>
      <c r="Z32" s="54"/>
    </row>
    <row r="33" spans="1:26" ht="18" customHeight="1" x14ac:dyDescent="0.4">
      <c r="A33" s="7"/>
      <c r="B33" s="159"/>
      <c r="C33" s="160"/>
      <c r="D33" s="160"/>
      <c r="E33" s="160"/>
      <c r="F33" s="161"/>
      <c r="G33" s="155"/>
      <c r="H33" s="27"/>
      <c r="I33" s="27"/>
      <c r="J33" s="28"/>
      <c r="K33" s="112">
        <v>4</v>
      </c>
      <c r="L33" s="113"/>
      <c r="M33" s="114"/>
      <c r="N33" s="27" t="s">
        <v>41</v>
      </c>
      <c r="O33" s="27"/>
      <c r="P33" s="27"/>
      <c r="Q33" s="77"/>
      <c r="R33" s="78"/>
      <c r="S33" s="79"/>
      <c r="T33" s="58"/>
      <c r="U33" s="8"/>
      <c r="V33" s="8"/>
      <c r="W33" s="59"/>
      <c r="X33" s="59"/>
      <c r="Y33" s="59"/>
      <c r="Z33" s="60"/>
    </row>
    <row r="34" spans="1:26" x14ac:dyDescent="0.4">
      <c r="A34" s="7"/>
      <c r="B34" s="159"/>
      <c r="C34" s="160"/>
      <c r="D34" s="160"/>
      <c r="E34" s="160"/>
      <c r="F34" s="161"/>
      <c r="G34" s="29"/>
      <c r="H34" s="30" t="s">
        <v>42</v>
      </c>
      <c r="I34" s="30"/>
      <c r="J34" s="30"/>
      <c r="K34" s="30"/>
      <c r="L34" s="30"/>
      <c r="M34" s="30"/>
      <c r="N34" s="30"/>
      <c r="O34" s="30"/>
      <c r="P34" s="30"/>
      <c r="Q34" s="77"/>
      <c r="R34" s="78"/>
      <c r="S34" s="79"/>
      <c r="T34" s="57"/>
      <c r="U34" s="12"/>
      <c r="V34" s="12"/>
      <c r="W34" s="27"/>
      <c r="X34" s="27"/>
      <c r="Y34" s="27"/>
      <c r="Z34" s="56"/>
    </row>
    <row r="35" spans="1:26" x14ac:dyDescent="0.4">
      <c r="A35" s="7"/>
      <c r="B35" s="159"/>
      <c r="C35" s="160"/>
      <c r="D35" s="160"/>
      <c r="E35" s="160"/>
      <c r="F35" s="161"/>
      <c r="G35" s="29"/>
      <c r="H35" s="30" t="s">
        <v>45</v>
      </c>
      <c r="I35" s="30"/>
      <c r="J35" s="30"/>
      <c r="K35" s="30"/>
      <c r="L35" s="30"/>
      <c r="M35" s="30"/>
      <c r="N35" s="30"/>
      <c r="O35" s="30"/>
      <c r="P35" s="30"/>
      <c r="Q35" s="77"/>
      <c r="R35" s="78"/>
      <c r="S35" s="79"/>
      <c r="T35" s="25"/>
      <c r="U35" s="23" t="s">
        <v>97</v>
      </c>
      <c r="V35" s="22"/>
      <c r="W35" s="61" t="s">
        <v>99</v>
      </c>
      <c r="X35" s="61"/>
      <c r="Y35" s="61"/>
      <c r="Z35" s="62"/>
    </row>
    <row r="36" spans="1:26" x14ac:dyDescent="0.4">
      <c r="A36" s="7"/>
      <c r="B36" s="159"/>
      <c r="C36" s="160"/>
      <c r="D36" s="160"/>
      <c r="E36" s="160"/>
      <c r="F36" s="161"/>
      <c r="G36" s="29"/>
      <c r="H36" s="30" t="s">
        <v>46</v>
      </c>
      <c r="I36" s="30"/>
      <c r="J36" s="30"/>
      <c r="K36" s="30"/>
      <c r="L36" s="30"/>
      <c r="M36" s="30"/>
      <c r="N36" s="30"/>
      <c r="O36" s="30"/>
      <c r="P36" s="30"/>
      <c r="Q36" s="77"/>
      <c r="R36" s="78"/>
      <c r="S36" s="79"/>
      <c r="T36" s="25"/>
      <c r="U36" s="23" t="s">
        <v>98</v>
      </c>
      <c r="V36" s="22"/>
      <c r="W36" s="63"/>
      <c r="X36" s="63"/>
      <c r="Y36" s="63"/>
      <c r="Z36" s="64"/>
    </row>
    <row r="37" spans="1:26" x14ac:dyDescent="0.4">
      <c r="A37" s="7"/>
      <c r="B37" s="159"/>
      <c r="C37" s="160"/>
      <c r="D37" s="160"/>
      <c r="E37" s="160"/>
      <c r="F37" s="161"/>
      <c r="G37" s="29"/>
      <c r="H37" s="26" t="s">
        <v>43</v>
      </c>
      <c r="I37" s="27"/>
      <c r="J37" s="27"/>
      <c r="K37" s="27"/>
      <c r="L37" s="27"/>
      <c r="M37" s="27"/>
      <c r="N37" s="27"/>
      <c r="O37" s="27"/>
      <c r="P37" s="27"/>
      <c r="Q37" s="77"/>
      <c r="R37" s="78"/>
      <c r="S37" s="79"/>
      <c r="T37" s="25"/>
      <c r="U37" s="23" t="s">
        <v>100</v>
      </c>
      <c r="V37" s="23"/>
      <c r="W37" s="23"/>
      <c r="X37" s="23"/>
      <c r="Y37" s="23"/>
      <c r="Z37" s="24"/>
    </row>
    <row r="38" spans="1:26" x14ac:dyDescent="0.4">
      <c r="A38" s="7"/>
      <c r="B38" s="159"/>
      <c r="C38" s="160"/>
      <c r="D38" s="160"/>
      <c r="E38" s="160"/>
      <c r="F38" s="161"/>
      <c r="G38" s="165"/>
      <c r="H38" s="166" t="s">
        <v>111</v>
      </c>
      <c r="I38" s="166"/>
      <c r="J38" s="166"/>
      <c r="K38" s="166"/>
      <c r="L38" s="166"/>
      <c r="M38" s="166"/>
      <c r="N38" s="166"/>
      <c r="O38" s="166"/>
      <c r="P38" s="166"/>
      <c r="Q38" s="77"/>
      <c r="R38" s="78"/>
      <c r="S38" s="79"/>
      <c r="Z38" s="7"/>
    </row>
    <row r="39" spans="1:26" x14ac:dyDescent="0.4">
      <c r="A39" s="7"/>
      <c r="B39" s="159"/>
      <c r="C39" s="160"/>
      <c r="D39" s="160"/>
      <c r="E39" s="160"/>
      <c r="F39" s="161"/>
      <c r="H39" s="115" t="s">
        <v>44</v>
      </c>
      <c r="I39" s="115"/>
      <c r="J39" s="115"/>
      <c r="K39" s="115"/>
      <c r="L39" s="115"/>
      <c r="M39" s="115"/>
      <c r="N39" s="115"/>
      <c r="O39" s="115"/>
      <c r="P39" s="115"/>
      <c r="Q39" s="77"/>
      <c r="R39" s="78"/>
      <c r="S39" s="79"/>
      <c r="Z39" s="7"/>
    </row>
    <row r="40" spans="1:26" x14ac:dyDescent="0.4">
      <c r="A40" s="7"/>
      <c r="B40" s="162"/>
      <c r="C40" s="163"/>
      <c r="D40" s="163"/>
      <c r="E40" s="163"/>
      <c r="F40" s="164"/>
      <c r="G40" s="5"/>
      <c r="H40" s="5"/>
      <c r="I40" s="5"/>
      <c r="J40" s="5"/>
      <c r="K40" s="5"/>
      <c r="L40" s="5"/>
      <c r="M40" s="5"/>
      <c r="N40" s="5"/>
      <c r="O40" s="5"/>
      <c r="P40" s="5"/>
      <c r="Q40" s="80"/>
      <c r="R40" s="81"/>
      <c r="S40" s="82"/>
      <c r="T40" s="5"/>
      <c r="U40" s="5"/>
      <c r="V40" s="5"/>
      <c r="W40" s="5"/>
      <c r="X40" s="5"/>
      <c r="Y40" s="5"/>
      <c r="Z40" s="11"/>
    </row>
    <row r="41" spans="1:26" ht="16.2" customHeight="1" x14ac:dyDescent="0.4">
      <c r="A41" s="7"/>
      <c r="B41" s="66" t="s">
        <v>47</v>
      </c>
      <c r="C41" s="67"/>
      <c r="D41" s="67"/>
      <c r="E41" s="67"/>
      <c r="F41" s="68"/>
      <c r="G41" s="72" t="s">
        <v>94</v>
      </c>
      <c r="H41" s="72"/>
      <c r="I41" s="72"/>
      <c r="J41" s="72"/>
      <c r="K41" s="72"/>
      <c r="L41" s="72"/>
      <c r="M41" s="72"/>
      <c r="N41" s="72"/>
      <c r="O41" s="72"/>
      <c r="P41" s="72"/>
      <c r="Q41" s="72"/>
      <c r="R41" s="72"/>
      <c r="S41" s="72"/>
      <c r="T41" s="72"/>
      <c r="U41" s="72"/>
      <c r="V41" s="72"/>
      <c r="W41" s="72"/>
      <c r="X41" s="72"/>
      <c r="Y41" s="72"/>
      <c r="Z41" s="7"/>
    </row>
    <row r="42" spans="1:26" ht="16.8" thickBot="1" x14ac:dyDescent="0.45">
      <c r="A42" s="7"/>
      <c r="B42" s="69"/>
      <c r="C42" s="70"/>
      <c r="D42" s="70"/>
      <c r="E42" s="70"/>
      <c r="F42" s="71"/>
      <c r="G42" s="73"/>
      <c r="H42" s="73"/>
      <c r="I42" s="73"/>
      <c r="J42" s="73"/>
      <c r="K42" s="73"/>
      <c r="L42" s="73"/>
      <c r="M42" s="73"/>
      <c r="N42" s="73"/>
      <c r="O42" s="73"/>
      <c r="P42" s="73"/>
      <c r="Q42" s="73"/>
      <c r="R42" s="73"/>
      <c r="S42" s="73"/>
      <c r="T42" s="73"/>
      <c r="U42" s="73"/>
      <c r="V42" s="73"/>
      <c r="W42" s="73"/>
      <c r="X42" s="73"/>
      <c r="Y42" s="73"/>
      <c r="Z42" s="9"/>
    </row>
    <row r="43" spans="1:26" x14ac:dyDescent="0.4">
      <c r="B43" s="2" t="s">
        <v>48</v>
      </c>
    </row>
  </sheetData>
  <mergeCells count="32">
    <mergeCell ref="A5:A21"/>
    <mergeCell ref="T11:Z11"/>
    <mergeCell ref="U5:Z5"/>
    <mergeCell ref="Q6:V6"/>
    <mergeCell ref="Q7:Z8"/>
    <mergeCell ref="Q9:Z9"/>
    <mergeCell ref="T10:Z10"/>
    <mergeCell ref="B29:F31"/>
    <mergeCell ref="G29:Z31"/>
    <mergeCell ref="T12:Z12"/>
    <mergeCell ref="T13:Z13"/>
    <mergeCell ref="B17:F19"/>
    <mergeCell ref="G17:Z19"/>
    <mergeCell ref="B20:F21"/>
    <mergeCell ref="G20:I20"/>
    <mergeCell ref="J20:Z20"/>
    <mergeCell ref="G21:I21"/>
    <mergeCell ref="J21:Z21"/>
    <mergeCell ref="B22:F28"/>
    <mergeCell ref="Q22:U28"/>
    <mergeCell ref="V23:X24"/>
    <mergeCell ref="V26:X27"/>
    <mergeCell ref="X28:Y28"/>
    <mergeCell ref="B32:F40"/>
    <mergeCell ref="Q32:S40"/>
    <mergeCell ref="K33:M33"/>
    <mergeCell ref="H38:P38"/>
    <mergeCell ref="B41:F42"/>
    <mergeCell ref="G41:Y42"/>
    <mergeCell ref="W35:Z36"/>
    <mergeCell ref="H39:P39"/>
    <mergeCell ref="G32:G33"/>
  </mergeCells>
  <phoneticPr fontId="1"/>
  <pageMargins left="0.7" right="0.7" top="0.75" bottom="0.75" header="0.3" footer="0.3"/>
  <pageSetup paperSize="9" scale="99"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0"/>
  <sheetViews>
    <sheetView topLeftCell="J1" zoomScale="85" zoomScaleNormal="85" workbookViewId="0">
      <selection activeCell="J11" sqref="J11"/>
    </sheetView>
  </sheetViews>
  <sheetFormatPr defaultRowHeight="18" x14ac:dyDescent="0.45"/>
  <cols>
    <col min="1" max="2" width="8.796875" style="1"/>
    <col min="3" max="3" width="10.8984375" style="1" customWidth="1"/>
    <col min="4" max="6" width="8.796875" style="1"/>
    <col min="7" max="7" width="8.796875" style="33"/>
    <col min="8" max="9" width="8.796875" style="1"/>
    <col min="10" max="10" width="20.796875" style="1" customWidth="1"/>
    <col min="11" max="16384" width="8.796875" style="1"/>
  </cols>
  <sheetData>
    <row r="1" spans="1:34" s="18" customFormat="1" ht="13.5" customHeight="1" x14ac:dyDescent="0.45">
      <c r="A1" s="14" t="s">
        <v>49</v>
      </c>
      <c r="B1" s="14" t="s">
        <v>50</v>
      </c>
      <c r="C1" s="14" t="s">
        <v>51</v>
      </c>
      <c r="D1" s="14" t="s">
        <v>52</v>
      </c>
      <c r="E1" s="14" t="s">
        <v>53</v>
      </c>
      <c r="F1" s="14" t="s">
        <v>7</v>
      </c>
      <c r="G1" s="32" t="s">
        <v>54</v>
      </c>
      <c r="H1" s="15" t="s">
        <v>55</v>
      </c>
      <c r="I1" s="14" t="s">
        <v>56</v>
      </c>
      <c r="J1" s="14" t="s">
        <v>57</v>
      </c>
      <c r="K1" s="14" t="s">
        <v>58</v>
      </c>
      <c r="L1" s="14" t="s">
        <v>59</v>
      </c>
      <c r="M1" s="15" t="s">
        <v>60</v>
      </c>
      <c r="N1" s="15" t="s">
        <v>61</v>
      </c>
      <c r="O1" s="14" t="s">
        <v>62</v>
      </c>
      <c r="P1" s="14" t="s">
        <v>63</v>
      </c>
      <c r="Q1" s="14" t="s">
        <v>64</v>
      </c>
      <c r="R1" s="14" t="s">
        <v>65</v>
      </c>
      <c r="S1" s="14" t="s">
        <v>66</v>
      </c>
      <c r="T1" s="14" t="s">
        <v>67</v>
      </c>
      <c r="U1" s="14" t="s">
        <v>68</v>
      </c>
      <c r="V1" s="14" t="s">
        <v>69</v>
      </c>
      <c r="W1" s="14" t="s">
        <v>70</v>
      </c>
      <c r="X1" s="14" t="s">
        <v>71</v>
      </c>
      <c r="Y1" s="14"/>
      <c r="Z1" s="16" t="s">
        <v>72</v>
      </c>
      <c r="AA1" s="16" t="s">
        <v>73</v>
      </c>
      <c r="AB1" s="43" t="s">
        <v>74</v>
      </c>
      <c r="AC1" s="43" t="s">
        <v>75</v>
      </c>
      <c r="AD1" s="17" t="s">
        <v>76</v>
      </c>
      <c r="AE1" s="18" t="s">
        <v>77</v>
      </c>
      <c r="AF1" s="18" t="s">
        <v>78</v>
      </c>
      <c r="AH1" s="19"/>
    </row>
    <row r="2" spans="1:34" x14ac:dyDescent="0.45">
      <c r="A2" s="44"/>
      <c r="B2" s="44"/>
      <c r="C2" s="44">
        <f>許可申請書!Q7</f>
        <v>0</v>
      </c>
      <c r="D2" s="44">
        <f>許可申請書!Q9</f>
        <v>0</v>
      </c>
      <c r="E2" s="44">
        <f>許可申請書!T10</f>
        <v>0</v>
      </c>
      <c r="F2" s="44">
        <f>許可申請書!T11</f>
        <v>0</v>
      </c>
      <c r="G2" s="45">
        <f>許可申請書!U5</f>
        <v>0</v>
      </c>
      <c r="H2" s="44"/>
      <c r="I2" s="44" t="s">
        <v>86</v>
      </c>
      <c r="J2" s="44">
        <f>許可申請書!G17</f>
        <v>0</v>
      </c>
      <c r="K2" s="44" t="str">
        <f>許可申請書!J20</f>
        <v>令和　年　月　日(　)　時　分～令和　年　月　日(　)　時　分まで　</v>
      </c>
      <c r="L2" s="44">
        <f>許可申請書!G29</f>
        <v>0</v>
      </c>
      <c r="M2" s="44" t="str">
        <f>許可申請書!X28</f>
        <v/>
      </c>
      <c r="N2" s="44">
        <f>D10</f>
        <v>0</v>
      </c>
      <c r="O2" s="44">
        <f>D10*40</f>
        <v>0</v>
      </c>
      <c r="P2" s="40" t="s">
        <v>89</v>
      </c>
      <c r="Q2" s="40" t="s">
        <v>90</v>
      </c>
      <c r="R2" s="40" t="s">
        <v>91</v>
      </c>
      <c r="S2" s="41" t="s">
        <v>92</v>
      </c>
      <c r="T2" s="42" t="s">
        <v>93</v>
      </c>
      <c r="U2" s="44"/>
      <c r="V2" s="44"/>
      <c r="W2" s="44"/>
      <c r="X2" s="44"/>
      <c r="Y2" s="44"/>
      <c r="Z2" s="44"/>
      <c r="AA2" s="44"/>
      <c r="AB2" s="44"/>
      <c r="AC2" s="44"/>
      <c r="AD2" s="44"/>
      <c r="AE2" s="44"/>
      <c r="AF2" s="44"/>
    </row>
    <row r="5" spans="1:34" x14ac:dyDescent="0.45">
      <c r="C5" s="34"/>
      <c r="D5" s="35" t="s">
        <v>87</v>
      </c>
    </row>
    <row r="6" spans="1:34" x14ac:dyDescent="0.45">
      <c r="C6" s="36" t="s">
        <v>20</v>
      </c>
      <c r="D6" s="37" t="str">
        <f>IF(許可申請書!G22=1,253,"")</f>
        <v/>
      </c>
    </row>
    <row r="7" spans="1:34" x14ac:dyDescent="0.45">
      <c r="C7" s="36" t="s">
        <v>22</v>
      </c>
      <c r="D7" s="37" t="str">
        <f>IF(許可申請書!G23=1,727,"")</f>
        <v/>
      </c>
    </row>
    <row r="8" spans="1:34" x14ac:dyDescent="0.45">
      <c r="C8" s="36" t="s">
        <v>23</v>
      </c>
      <c r="D8" s="37" t="str">
        <f>IF(許可申請書!G24=1,700,"")</f>
        <v/>
      </c>
    </row>
    <row r="9" spans="1:34" x14ac:dyDescent="0.45">
      <c r="C9" s="36" t="s">
        <v>27</v>
      </c>
      <c r="D9" s="37" t="str">
        <f>IF(許可申請書!G26=1,2580,"")</f>
        <v/>
      </c>
    </row>
    <row r="10" spans="1:34" x14ac:dyDescent="0.45">
      <c r="C10" s="38" t="s">
        <v>88</v>
      </c>
      <c r="D10" s="39">
        <f>IF(D9="",SUM(D6:D9),1680)</f>
        <v>0</v>
      </c>
    </row>
  </sheetData>
  <phoneticPr fontId="1"/>
  <conditionalFormatting sqref="I1">
    <cfRule type="cellIs" dxfId="0" priority="1" stopIfTrue="1" operator="equal">
      <formula>"青垣公園多目的広場"</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許可申請書</vt:lpstr>
      <vt:lpstr>許可申請書 (記入例)</vt:lpstr>
      <vt:lpstr>作業用</vt:lpstr>
      <vt:lpstr>許可申請書!Print_Area</vt:lpstr>
      <vt:lpstr>'許可申請書 (記入例)'!Print_Area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2024-02-09T07:40:58Z</dcterms:modified>
</cp:coreProperties>
</file>