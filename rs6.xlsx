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filterPrivacy="1"/>
  <xr:revisionPtr revIDLastSave="6" documentId="11_C8A4C6B4349AE1964D4EF79E84B68BEA2179616F" xr6:coauthVersionLast="47" xr6:coauthVersionMax="47" xr10:uidLastSave="{B8899FFE-6C6C-44EB-9FC5-9B4C2539CBBE}"/>
  <bookViews>
    <workbookView xWindow="1125" yWindow="0" windowWidth="16380" windowHeight="10800" activeTab="1" xr2:uid="{00000000-000D-0000-FFFF-FFFF00000000}"/>
  </bookViews>
  <sheets>
    <sheet name="許可申請書" sheetId="1" r:id="rId1"/>
    <sheet name="許可申請書 (記入例)" sheetId="3" r:id="rId2"/>
    <sheet name="作業用" sheetId="2" state="hidden" r:id="rId3"/>
  </sheets>
  <definedNames>
    <definedName name="_xlnm.Print_Area" localSheetId="0">許可申請書!$A$1:$AA$44</definedName>
    <definedName name="_xlnm.Print_Area" localSheetId="1">'許可申請書 (記入例)'!$A$1:$AA$44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9" i="2" l="1"/>
  <c r="D8" i="2"/>
  <c r="D7" i="2"/>
  <c r="D6" i="2"/>
  <c r="D10" i="2" l="1"/>
  <c r="L2" i="2"/>
  <c r="K2" i="2"/>
  <c r="J2" i="2"/>
  <c r="G2" i="2"/>
  <c r="F2" i="2"/>
  <c r="X28" i="3"/>
  <c r="E2" i="2"/>
  <c r="D2" i="2"/>
  <c r="C2" i="2"/>
  <c r="X28" i="1"/>
  <c r="M2" i="2" s="1"/>
  <c r="O2" i="2" l="1"/>
  <c r="N2" i="2"/>
</calcChain>
</file>

<file path=xl/sharedStrings.xml><?xml version="1.0" encoding="utf-8"?>
<sst xmlns="http://schemas.openxmlformats.org/spreadsheetml/2006/main" count="185" uniqueCount="114">
  <si>
    <t>セントラルスクゥエア行為(変更）許可・利用申請書</t>
    <rPh sb="10" eb="12">
      <t>コウイ</t>
    </rPh>
    <rPh sb="13" eb="15">
      <t>ヘンコウ</t>
    </rPh>
    <rPh sb="16" eb="18">
      <t>キョカ</t>
    </rPh>
    <rPh sb="19" eb="21">
      <t>リヨウ</t>
    </rPh>
    <rPh sb="21" eb="24">
      <t>シンセイショ</t>
    </rPh>
    <phoneticPr fontId="1"/>
  </si>
  <si>
    <t>申請先：長野市長、一般社団法人ながの表参道セントラルシティ　代表理事</t>
    <rPh sb="0" eb="2">
      <t>シンセイ</t>
    </rPh>
    <rPh sb="2" eb="3">
      <t>サキ</t>
    </rPh>
    <rPh sb="4" eb="7">
      <t>ナガノシ</t>
    </rPh>
    <rPh sb="7" eb="8">
      <t>チョウ</t>
    </rPh>
    <rPh sb="9" eb="15">
      <t>イッパンシャダンホウジン</t>
    </rPh>
    <rPh sb="18" eb="21">
      <t>オモテサンドウ</t>
    </rPh>
    <rPh sb="30" eb="32">
      <t>ダイヒョウ</t>
    </rPh>
    <rPh sb="32" eb="34">
      <t>リジ</t>
    </rPh>
    <phoneticPr fontId="1"/>
  </si>
  <si>
    <t>申請日：</t>
    <rPh sb="0" eb="2">
      <t>シンセイ</t>
    </rPh>
    <rPh sb="2" eb="3">
      <t>ヒ</t>
    </rPh>
    <phoneticPr fontId="1"/>
  </si>
  <si>
    <t>〒</t>
    <phoneticPr fontId="1"/>
  </si>
  <si>
    <t>住所</t>
    <rPh sb="0" eb="2">
      <t>ジュウショ</t>
    </rPh>
    <phoneticPr fontId="1"/>
  </si>
  <si>
    <t>団体名</t>
    <rPh sb="0" eb="2">
      <t>ダンタイ</t>
    </rPh>
    <rPh sb="2" eb="3">
      <t>メイ</t>
    </rPh>
    <phoneticPr fontId="1"/>
  </si>
  <si>
    <t>申請者</t>
    <rPh sb="0" eb="3">
      <t>シンセイシャ</t>
    </rPh>
    <phoneticPr fontId="1"/>
  </si>
  <si>
    <t>代表者</t>
  </si>
  <si>
    <t>代表者</t>
    <rPh sb="0" eb="3">
      <t>ダイヒョウシャ</t>
    </rPh>
    <phoneticPr fontId="1"/>
  </si>
  <si>
    <t>役職</t>
    <rPh sb="0" eb="2">
      <t>ヤクショク</t>
    </rPh>
    <phoneticPr fontId="1"/>
  </si>
  <si>
    <t>氏名</t>
    <rPh sb="0" eb="2">
      <t>シメイ</t>
    </rPh>
    <phoneticPr fontId="1"/>
  </si>
  <si>
    <t>担当者氏名</t>
    <rPh sb="0" eb="3">
      <t>タントウシャ</t>
    </rPh>
    <rPh sb="3" eb="5">
      <t>シメイ</t>
    </rPh>
    <phoneticPr fontId="1"/>
  </si>
  <si>
    <t>連絡先　</t>
    <rPh sb="0" eb="2">
      <t>レンラク</t>
    </rPh>
    <rPh sb="2" eb="3">
      <t>サキ</t>
    </rPh>
    <phoneticPr fontId="1"/>
  </si>
  <si>
    <t>(電話)</t>
    <rPh sb="1" eb="3">
      <t>デンワ</t>
    </rPh>
    <phoneticPr fontId="1"/>
  </si>
  <si>
    <t>行為の目的
・催しのタイトル
・催しの目的　等</t>
    <rPh sb="0" eb="2">
      <t>コウイ</t>
    </rPh>
    <rPh sb="3" eb="5">
      <t>モクテキ</t>
    </rPh>
    <rPh sb="7" eb="8">
      <t>モヨオ</t>
    </rPh>
    <rPh sb="16" eb="17">
      <t>モヨオ</t>
    </rPh>
    <rPh sb="19" eb="21">
      <t>モクテキ</t>
    </rPh>
    <rPh sb="22" eb="23">
      <t>ナド</t>
    </rPh>
    <phoneticPr fontId="1"/>
  </si>
  <si>
    <t>次のとおり、都市公園内での行為について、長野市都市公園条例第3条第1項(第3項）の規定に</t>
    <rPh sb="0" eb="1">
      <t>ツギ</t>
    </rPh>
    <rPh sb="6" eb="8">
      <t>トシ</t>
    </rPh>
    <rPh sb="8" eb="10">
      <t>コウエン</t>
    </rPh>
    <rPh sb="10" eb="11">
      <t>ナイ</t>
    </rPh>
    <rPh sb="13" eb="15">
      <t>コウイ</t>
    </rPh>
    <rPh sb="20" eb="23">
      <t>ナガノシ</t>
    </rPh>
    <rPh sb="23" eb="25">
      <t>トシ</t>
    </rPh>
    <rPh sb="25" eb="27">
      <t>コウエン</t>
    </rPh>
    <rPh sb="27" eb="29">
      <t>ジョウレイ</t>
    </rPh>
    <rPh sb="29" eb="30">
      <t>ダイ</t>
    </rPh>
    <rPh sb="31" eb="32">
      <t>ジョウ</t>
    </rPh>
    <rPh sb="32" eb="33">
      <t>ダイ</t>
    </rPh>
    <rPh sb="34" eb="35">
      <t>コウ</t>
    </rPh>
    <rPh sb="36" eb="37">
      <t>ダイ</t>
    </rPh>
    <rPh sb="38" eb="39">
      <t>コウ</t>
    </rPh>
    <rPh sb="41" eb="43">
      <t>キテイ</t>
    </rPh>
    <phoneticPr fontId="1"/>
  </si>
  <si>
    <t>よる許可を受けたいので申請します。また、多目的広場の利用についても併せて申請します。</t>
    <rPh sb="2" eb="4">
      <t>キョカ</t>
    </rPh>
    <rPh sb="5" eb="6">
      <t>ウ</t>
    </rPh>
    <rPh sb="11" eb="13">
      <t>シンセイ</t>
    </rPh>
    <rPh sb="20" eb="23">
      <t>タモクテキ</t>
    </rPh>
    <rPh sb="23" eb="25">
      <t>ヒロバ</t>
    </rPh>
    <rPh sb="26" eb="28">
      <t>リヨウ</t>
    </rPh>
    <phoneticPr fontId="1"/>
  </si>
  <si>
    <t>行為の期間</t>
    <rPh sb="0" eb="2">
      <t>コウイ</t>
    </rPh>
    <rPh sb="3" eb="5">
      <t>キカン</t>
    </rPh>
    <phoneticPr fontId="1"/>
  </si>
  <si>
    <t>(準備～撤去)</t>
    <rPh sb="1" eb="3">
      <t>ジュンビ</t>
    </rPh>
    <rPh sb="4" eb="6">
      <t>テッキョ</t>
    </rPh>
    <phoneticPr fontId="1"/>
  </si>
  <si>
    <t>(開催)</t>
    <rPh sb="1" eb="3">
      <t>カイサイ</t>
    </rPh>
    <phoneticPr fontId="1"/>
  </si>
  <si>
    <t>A</t>
    <phoneticPr fontId="1"/>
  </si>
  <si>
    <t>セントラルステージ　253㎡</t>
    <phoneticPr fontId="1"/>
  </si>
  <si>
    <t>B</t>
    <phoneticPr fontId="1"/>
  </si>
  <si>
    <t>C</t>
    <phoneticPr fontId="1"/>
  </si>
  <si>
    <t>にぎわい広場　727㎡</t>
    <rPh sb="4" eb="6">
      <t>ヒロバ</t>
    </rPh>
    <phoneticPr fontId="1"/>
  </si>
  <si>
    <t>D</t>
    <phoneticPr fontId="1"/>
  </si>
  <si>
    <t>芝生広場　700㎡</t>
    <rPh sb="0" eb="2">
      <t>シバフ</t>
    </rPh>
    <rPh sb="2" eb="4">
      <t>ヒロバ</t>
    </rPh>
    <phoneticPr fontId="1"/>
  </si>
  <si>
    <t>E</t>
    <phoneticPr fontId="1"/>
  </si>
  <si>
    <t>多目的広場　900㎡</t>
    <rPh sb="0" eb="3">
      <t>タモクテキ</t>
    </rPh>
    <rPh sb="3" eb="5">
      <t>ヒロバ</t>
    </rPh>
    <phoneticPr fontId="1"/>
  </si>
  <si>
    <t>全エリア　2,580㎡</t>
    <rPh sb="0" eb="1">
      <t>ゼン</t>
    </rPh>
    <phoneticPr fontId="1"/>
  </si>
  <si>
    <t>　</t>
    <phoneticPr fontId="1"/>
  </si>
  <si>
    <t>他のエリアの選択は不要です。</t>
    <rPh sb="6" eb="8">
      <t>センタク</t>
    </rPh>
    <rPh sb="9" eb="11">
      <t>フヨウ</t>
    </rPh>
    <phoneticPr fontId="1"/>
  </si>
  <si>
    <r>
      <rPr>
        <sz val="10"/>
        <color theme="1"/>
        <rFont val="游ゴシック"/>
        <family val="3"/>
        <charset val="128"/>
        <scheme val="minor"/>
      </rPr>
      <t>行為の場所</t>
    </r>
    <r>
      <rPr>
        <sz val="8"/>
        <color theme="1"/>
        <rFont val="游ゴシック"/>
        <family val="2"/>
        <scheme val="minor"/>
      </rPr>
      <t xml:space="preserve">
(利用するエリア
を選択してください）</t>
    </r>
    <rPh sb="0" eb="2">
      <t>コウイ</t>
    </rPh>
    <rPh sb="3" eb="5">
      <t>バショ</t>
    </rPh>
    <rPh sb="7" eb="9">
      <t>リヨウ</t>
    </rPh>
    <rPh sb="16" eb="18">
      <t>センタク</t>
    </rPh>
    <phoneticPr fontId="1"/>
  </si>
  <si>
    <t>利用人数</t>
    <rPh sb="0" eb="2">
      <t>リヨウ</t>
    </rPh>
    <rPh sb="2" eb="4">
      <t>ニンズウ</t>
    </rPh>
    <phoneticPr fontId="1"/>
  </si>
  <si>
    <t>関係者</t>
    <rPh sb="0" eb="3">
      <t>カンケイシャ</t>
    </rPh>
    <phoneticPr fontId="1"/>
  </si>
  <si>
    <t>人</t>
    <rPh sb="0" eb="1">
      <t>ニン</t>
    </rPh>
    <phoneticPr fontId="1"/>
  </si>
  <si>
    <t>動員見込</t>
    <rPh sb="0" eb="2">
      <t>ドウイン</t>
    </rPh>
    <rPh sb="2" eb="4">
      <t>ミコミ</t>
    </rPh>
    <phoneticPr fontId="1"/>
  </si>
  <si>
    <t>行為の内容
(何をするか
具体的に）</t>
    <rPh sb="0" eb="2">
      <t>コウイ</t>
    </rPh>
    <rPh sb="3" eb="5">
      <t>ナイヨウ</t>
    </rPh>
    <rPh sb="7" eb="8">
      <t>ナニ</t>
    </rPh>
    <rPh sb="13" eb="16">
      <t>グタイテキ</t>
    </rPh>
    <phoneticPr fontId="1"/>
  </si>
  <si>
    <t>電気・水道の使用</t>
    <rPh sb="0" eb="2">
      <t>デンキ</t>
    </rPh>
    <rPh sb="3" eb="5">
      <t>スイドウ</t>
    </rPh>
    <rPh sb="6" eb="8">
      <t>シヨウ</t>
    </rPh>
    <phoneticPr fontId="1"/>
  </si>
  <si>
    <t>マイクスタンド（４セットまで）</t>
    <phoneticPr fontId="1"/>
  </si>
  <si>
    <t>セット</t>
    <phoneticPr fontId="1"/>
  </si>
  <si>
    <t>CDプレーヤー</t>
    <phoneticPr fontId="1"/>
  </si>
  <si>
    <t>ステージ裏管理室</t>
    <rPh sb="4" eb="5">
      <t>ウラ</t>
    </rPh>
    <rPh sb="5" eb="7">
      <t>カンリ</t>
    </rPh>
    <rPh sb="7" eb="8">
      <t>シツ</t>
    </rPh>
    <phoneticPr fontId="1"/>
  </si>
  <si>
    <t>（以上は無料でお使いいただけます）</t>
    <rPh sb="1" eb="3">
      <t>イジョウ</t>
    </rPh>
    <rPh sb="4" eb="6">
      <t>ムリョウ</t>
    </rPh>
    <rPh sb="8" eb="9">
      <t>ツカ</t>
    </rPh>
    <phoneticPr fontId="1"/>
  </si>
  <si>
    <t>デジタル騒音計※</t>
    <rPh sb="4" eb="7">
      <t>ソウオンケイ</t>
    </rPh>
    <phoneticPr fontId="1"/>
  </si>
  <si>
    <t>防振マット※</t>
    <rPh sb="0" eb="2">
      <t>ボウシン</t>
    </rPh>
    <phoneticPr fontId="1"/>
  </si>
  <si>
    <t>都市公園の
復旧方法</t>
    <rPh sb="0" eb="2">
      <t>トシ</t>
    </rPh>
    <rPh sb="2" eb="4">
      <t>コウエン</t>
    </rPh>
    <rPh sb="6" eb="8">
      <t>フッキュウ</t>
    </rPh>
    <rPh sb="8" eb="10">
      <t>ホウホウ</t>
    </rPh>
    <phoneticPr fontId="1"/>
  </si>
  <si>
    <t>※実施要領(企画書・チラシ等）と平面図を併せて、ご提出ください。</t>
    <rPh sb="1" eb="3">
      <t>ジッシ</t>
    </rPh>
    <rPh sb="3" eb="5">
      <t>ヨウリョウ</t>
    </rPh>
    <rPh sb="6" eb="9">
      <t>キカクショ</t>
    </rPh>
    <rPh sb="13" eb="14">
      <t>ナド</t>
    </rPh>
    <rPh sb="16" eb="19">
      <t>ヘイメンズ</t>
    </rPh>
    <rPh sb="20" eb="21">
      <t>アワ</t>
    </rPh>
    <rPh sb="25" eb="27">
      <t>テイシュツ</t>
    </rPh>
    <phoneticPr fontId="1"/>
  </si>
  <si>
    <t>No.</t>
  </si>
  <si>
    <t>指令番号</t>
    <rPh sb="2" eb="4">
      <t>バンゴウ</t>
    </rPh>
    <phoneticPr fontId="6"/>
  </si>
  <si>
    <t>所　　　　　在</t>
    <phoneticPr fontId="7"/>
  </si>
  <si>
    <t>団　　体</t>
    <rPh sb="0" eb="1">
      <t>ダン</t>
    </rPh>
    <rPh sb="3" eb="4">
      <t>カラダ</t>
    </rPh>
    <phoneticPr fontId="6"/>
  </si>
  <si>
    <t>役職</t>
    <rPh sb="0" eb="2">
      <t>ヤクショク</t>
    </rPh>
    <phoneticPr fontId="6"/>
  </si>
  <si>
    <t>申請日</t>
    <rPh sb="0" eb="2">
      <t>シンセイ</t>
    </rPh>
    <phoneticPr fontId="7"/>
  </si>
  <si>
    <t>許可日</t>
  </si>
  <si>
    <t>公園名</t>
    <phoneticPr fontId="7"/>
  </si>
  <si>
    <t>行為の目的</t>
  </si>
  <si>
    <t>期　　　　　間</t>
    <phoneticPr fontId="7"/>
  </si>
  <si>
    <t>行為の内容</t>
  </si>
  <si>
    <t>人数</t>
    <rPh sb="0" eb="2">
      <t>ニンズウ</t>
    </rPh>
    <phoneticPr fontId="6"/>
  </si>
  <si>
    <t>面積</t>
    <rPh sb="0" eb="2">
      <t>メンセキ</t>
    </rPh>
    <phoneticPr fontId="6"/>
  </si>
  <si>
    <t>使用料</t>
  </si>
  <si>
    <t>許可条件１</t>
    <rPh sb="0" eb="2">
      <t>キョカ</t>
    </rPh>
    <rPh sb="2" eb="4">
      <t>ジョウケン</t>
    </rPh>
    <phoneticPr fontId="6"/>
  </si>
  <si>
    <t>許可条件２</t>
    <rPh sb="0" eb="2">
      <t>キョカ</t>
    </rPh>
    <rPh sb="2" eb="4">
      <t>ジョウケン</t>
    </rPh>
    <phoneticPr fontId="6"/>
  </si>
  <si>
    <t>許可条件３</t>
    <rPh sb="0" eb="2">
      <t>キョカ</t>
    </rPh>
    <rPh sb="2" eb="4">
      <t>ジョウケン</t>
    </rPh>
    <phoneticPr fontId="6"/>
  </si>
  <si>
    <t>許可条件４</t>
    <rPh sb="0" eb="2">
      <t>キョカ</t>
    </rPh>
    <rPh sb="2" eb="4">
      <t>ジョウケン</t>
    </rPh>
    <phoneticPr fontId="6"/>
  </si>
  <si>
    <t>許可条件５</t>
    <rPh sb="0" eb="2">
      <t>キョカ</t>
    </rPh>
    <rPh sb="2" eb="4">
      <t>ジョウケン</t>
    </rPh>
    <phoneticPr fontId="6"/>
  </si>
  <si>
    <t>許可条件６</t>
    <rPh sb="0" eb="2">
      <t>キョカ</t>
    </rPh>
    <rPh sb="2" eb="4">
      <t>ジョウケン</t>
    </rPh>
    <phoneticPr fontId="6"/>
  </si>
  <si>
    <t>許可条件７</t>
    <rPh sb="0" eb="2">
      <t>キョカ</t>
    </rPh>
    <rPh sb="2" eb="4">
      <t>ジョウケン</t>
    </rPh>
    <phoneticPr fontId="6"/>
  </si>
  <si>
    <t>許可条件８</t>
    <rPh sb="0" eb="2">
      <t>キョカ</t>
    </rPh>
    <rPh sb="2" eb="4">
      <t>ジョウケン</t>
    </rPh>
    <phoneticPr fontId="6"/>
  </si>
  <si>
    <t>備考</t>
    <rPh sb="0" eb="2">
      <t>ビコウ</t>
    </rPh>
    <phoneticPr fontId="6"/>
  </si>
  <si>
    <t>許可書発送チェック</t>
    <rPh sb="0" eb="2">
      <t>キョカ</t>
    </rPh>
    <rPh sb="2" eb="3">
      <t>ショ</t>
    </rPh>
    <rPh sb="3" eb="5">
      <t>ハッソウ</t>
    </rPh>
    <phoneticPr fontId="7"/>
  </si>
  <si>
    <t>NPO等へのFAX等チェック</t>
    <rPh sb="3" eb="4">
      <t>トウ</t>
    </rPh>
    <rPh sb="9" eb="10">
      <t>トウ</t>
    </rPh>
    <phoneticPr fontId="7"/>
  </si>
  <si>
    <t>物販の有無</t>
    <rPh sb="0" eb="2">
      <t>ブッパン</t>
    </rPh>
    <rPh sb="3" eb="5">
      <t>ウム</t>
    </rPh>
    <phoneticPr fontId="7"/>
  </si>
  <si>
    <t>占有許可申請</t>
    <rPh sb="0" eb="2">
      <t>センユウ</t>
    </rPh>
    <rPh sb="2" eb="4">
      <t>キョカ</t>
    </rPh>
    <rPh sb="4" eb="6">
      <t>シンセイ</t>
    </rPh>
    <phoneticPr fontId="7"/>
  </si>
  <si>
    <t>備考</t>
    <rPh sb="0" eb="2">
      <t>ビコウ</t>
    </rPh>
    <phoneticPr fontId="7"/>
  </si>
  <si>
    <t>人数</t>
    <rPh sb="0" eb="2">
      <t>ニンズウ</t>
    </rPh>
    <phoneticPr fontId="7"/>
  </si>
  <si>
    <t>イベント日数</t>
    <rPh sb="4" eb="6">
      <t>ニッスウ</t>
    </rPh>
    <phoneticPr fontId="7"/>
  </si>
  <si>
    <t>長野　太郎</t>
    <rPh sb="0" eb="2">
      <t>ナガノ</t>
    </rPh>
    <rPh sb="3" eb="5">
      <t>タロウ</t>
    </rPh>
    <phoneticPr fontId="1"/>
  </si>
  <si>
    <t>長野　次郎</t>
    <rPh sb="0" eb="2">
      <t>ナガノ</t>
    </rPh>
    <rPh sb="3" eb="5">
      <t>ジロウ</t>
    </rPh>
    <phoneticPr fontId="1"/>
  </si>
  <si>
    <t>026-224-5053</t>
    <phoneticPr fontId="1"/>
  </si>
  <si>
    <t>令和６年４月１日(月)10時00分～令和６年４月２日(火)17時00分まで　</t>
    <rPh sb="0" eb="2">
      <t>レイワ</t>
    </rPh>
    <rPh sb="3" eb="4">
      <t>ネン</t>
    </rPh>
    <rPh sb="5" eb="6">
      <t>ガツ</t>
    </rPh>
    <rPh sb="7" eb="8">
      <t>ニチ</t>
    </rPh>
    <rPh sb="9" eb="10">
      <t>ゲツ</t>
    </rPh>
    <rPh sb="13" eb="14">
      <t>ジ</t>
    </rPh>
    <rPh sb="16" eb="17">
      <t>フン</t>
    </rPh>
    <rPh sb="18" eb="20">
      <t>レイワ</t>
    </rPh>
    <rPh sb="21" eb="22">
      <t>ネン</t>
    </rPh>
    <rPh sb="23" eb="24">
      <t>ガツ</t>
    </rPh>
    <rPh sb="25" eb="26">
      <t>ニチ</t>
    </rPh>
    <rPh sb="27" eb="28">
      <t>カ</t>
    </rPh>
    <rPh sb="31" eb="32">
      <t>ジ</t>
    </rPh>
    <rPh sb="34" eb="35">
      <t>フン</t>
    </rPh>
    <phoneticPr fontId="1"/>
  </si>
  <si>
    <t>令和６年４月2日(火)10時00分～令和６年４月２日(火)17時00分まで　</t>
    <rPh sb="0" eb="2">
      <t>レイワ</t>
    </rPh>
    <rPh sb="3" eb="4">
      <t>ネン</t>
    </rPh>
    <rPh sb="5" eb="6">
      <t>ガツ</t>
    </rPh>
    <rPh sb="7" eb="8">
      <t>ニチ</t>
    </rPh>
    <rPh sb="9" eb="10">
      <t>カ</t>
    </rPh>
    <rPh sb="13" eb="14">
      <t>ジ</t>
    </rPh>
    <rPh sb="16" eb="17">
      <t>フン</t>
    </rPh>
    <rPh sb="18" eb="20">
      <t>レイワ</t>
    </rPh>
    <rPh sb="21" eb="22">
      <t>ネン</t>
    </rPh>
    <rPh sb="23" eb="24">
      <t>ガツ</t>
    </rPh>
    <rPh sb="25" eb="26">
      <t>ニチ</t>
    </rPh>
    <rPh sb="27" eb="28">
      <t>カ</t>
    </rPh>
    <rPh sb="31" eb="32">
      <t>ジ</t>
    </rPh>
    <rPh sb="34" eb="35">
      <t>フン</t>
    </rPh>
    <phoneticPr fontId="1"/>
  </si>
  <si>
    <t>合計　</t>
    <rPh sb="0" eb="2">
      <t>ゴウケイ</t>
    </rPh>
    <phoneticPr fontId="1"/>
  </si>
  <si>
    <t>セントラルスクゥエア</t>
    <phoneticPr fontId="1"/>
  </si>
  <si>
    <t>面積計算</t>
    <rPh sb="0" eb="2">
      <t>メンセキ</t>
    </rPh>
    <rPh sb="2" eb="4">
      <t>ケイサン</t>
    </rPh>
    <phoneticPr fontId="1"/>
  </si>
  <si>
    <t>合計</t>
    <rPh sb="0" eb="2">
      <t>ゴウケイ</t>
    </rPh>
    <phoneticPr fontId="1"/>
  </si>
  <si>
    <t>ア　申請者おいて清掃後、ゴミは持ち帰ること。</t>
    <rPh sb="2" eb="5">
      <t>シンセイシャ</t>
    </rPh>
    <rPh sb="8" eb="10">
      <t>セイソウ</t>
    </rPh>
    <rPh sb="10" eb="11">
      <t>ゴ</t>
    </rPh>
    <rPh sb="15" eb="16">
      <t>モ</t>
    </rPh>
    <rPh sb="17" eb="18">
      <t>カエ</t>
    </rPh>
    <phoneticPr fontId="7"/>
  </si>
  <si>
    <t>イ　原状回復すること。</t>
    <rPh sb="2" eb="4">
      <t>ゲンジョウ</t>
    </rPh>
    <rPh sb="4" eb="6">
      <t>カイフク</t>
    </rPh>
    <phoneticPr fontId="7"/>
  </si>
  <si>
    <t>ウ　材料の搬入時等、公園施設を傷つけないよう対策を講じること。損傷した際は、速やかに復旧すること。</t>
    <phoneticPr fontId="6"/>
  </si>
  <si>
    <t>エ　他の公園利用者及び周辺住民に迷惑のかからないよう配慮すること。</t>
    <rPh sb="2" eb="3">
      <t>タ</t>
    </rPh>
    <rPh sb="4" eb="6">
      <t>コウエン</t>
    </rPh>
    <rPh sb="6" eb="9">
      <t>リヨウシャ</t>
    </rPh>
    <rPh sb="9" eb="10">
      <t>オヨ</t>
    </rPh>
    <rPh sb="11" eb="13">
      <t>シュウヘン</t>
    </rPh>
    <rPh sb="13" eb="15">
      <t>ジュウミン</t>
    </rPh>
    <rPh sb="16" eb="18">
      <t>メイワク</t>
    </rPh>
    <rPh sb="26" eb="28">
      <t>ハイリョ</t>
    </rPh>
    <phoneticPr fontId="6"/>
  </si>
  <si>
    <t>オ　セントラルスクゥエア使用規定に違反していると認められる場合は、イベントを中止していただく場合があります。</t>
    <rPh sb="12" eb="14">
      <t>シヨウ</t>
    </rPh>
    <rPh sb="14" eb="16">
      <t>キテイ</t>
    </rPh>
    <rPh sb="17" eb="19">
      <t>イハン</t>
    </rPh>
    <rPh sb="24" eb="25">
      <t>ミト</t>
    </rPh>
    <rPh sb="29" eb="31">
      <t>バアイ</t>
    </rPh>
    <rPh sb="38" eb="40">
      <t>チュウシ</t>
    </rPh>
    <rPh sb="46" eb="48">
      <t>バアイ</t>
    </rPh>
    <phoneticPr fontId="7"/>
  </si>
  <si>
    <t>申請者において清掃後、ゴミは持ち帰る。その他、現状に復する。</t>
    <rPh sb="0" eb="3">
      <t>シンセイシャ</t>
    </rPh>
    <rPh sb="7" eb="9">
      <t>セイソウ</t>
    </rPh>
    <rPh sb="9" eb="10">
      <t>ゴ</t>
    </rPh>
    <rPh sb="14" eb="15">
      <t>モ</t>
    </rPh>
    <rPh sb="16" eb="17">
      <t>カエ</t>
    </rPh>
    <rPh sb="21" eb="22">
      <t>タ</t>
    </rPh>
    <rPh sb="23" eb="25">
      <t>ゲンジョウ</t>
    </rPh>
    <rPh sb="26" eb="27">
      <t>フク</t>
    </rPh>
    <phoneticPr fontId="1"/>
  </si>
  <si>
    <t>※太枠内を記入してください。</t>
    <rPh sb="1" eb="3">
      <t>フトワク</t>
    </rPh>
    <rPh sb="3" eb="4">
      <t>ナイ</t>
    </rPh>
    <rPh sb="5" eb="7">
      <t>キニュウ</t>
    </rPh>
    <phoneticPr fontId="1"/>
  </si>
  <si>
    <t>電気</t>
    <rPh sb="0" eb="2">
      <t>デンキ</t>
    </rPh>
    <phoneticPr fontId="1"/>
  </si>
  <si>
    <t>水道</t>
    <rPh sb="0" eb="2">
      <t>スイドウ</t>
    </rPh>
    <phoneticPr fontId="1"/>
  </si>
  <si>
    <t>（無料）</t>
    <rPh sb="1" eb="3">
      <t>ムリョウ</t>
    </rPh>
    <phoneticPr fontId="1"/>
  </si>
  <si>
    <t>排水トラップ（有料）</t>
    <rPh sb="0" eb="2">
      <t>ハイスイ</t>
    </rPh>
    <rPh sb="7" eb="9">
      <t>ユウリョウ</t>
    </rPh>
    <phoneticPr fontId="1"/>
  </si>
  <si>
    <t>〇〇株式会社</t>
    <rPh sb="2" eb="4">
      <t>カブシキ</t>
    </rPh>
    <rPh sb="4" eb="6">
      <t>カイシャ</t>
    </rPh>
    <phoneticPr fontId="1"/>
  </si>
  <si>
    <t>代表取締役</t>
    <rPh sb="0" eb="2">
      <t>ダイヒョウ</t>
    </rPh>
    <rPh sb="2" eb="5">
      <t>トリシマリヤク</t>
    </rPh>
    <phoneticPr fontId="1"/>
  </si>
  <si>
    <t>申請日</t>
    <rPh sb="0" eb="2">
      <t>シンセイ</t>
    </rPh>
    <rPh sb="2" eb="3">
      <t>ヒ</t>
    </rPh>
    <phoneticPr fontId="1"/>
  </si>
  <si>
    <t>次のとおり、セントラルスクゥエア内での行為について、長野市都市公園条例第3条第1項(第3項）</t>
    <rPh sb="0" eb="1">
      <t>ツギ</t>
    </rPh>
    <rPh sb="16" eb="17">
      <t>ナイ</t>
    </rPh>
    <rPh sb="17" eb="18">
      <t>トナイ</t>
    </rPh>
    <rPh sb="19" eb="21">
      <t>コウイ</t>
    </rPh>
    <rPh sb="26" eb="29">
      <t>ナガノシ</t>
    </rPh>
    <rPh sb="29" eb="31">
      <t>トシ</t>
    </rPh>
    <rPh sb="31" eb="33">
      <t>コウエン</t>
    </rPh>
    <rPh sb="33" eb="35">
      <t>ジョウレイ</t>
    </rPh>
    <rPh sb="35" eb="36">
      <t>ダイ</t>
    </rPh>
    <rPh sb="37" eb="38">
      <t>ジョウ</t>
    </rPh>
    <rPh sb="38" eb="39">
      <t>ダイ</t>
    </rPh>
    <rPh sb="40" eb="41">
      <t>コウ</t>
    </rPh>
    <rPh sb="42" eb="43">
      <t>ダイ</t>
    </rPh>
    <rPh sb="44" eb="45">
      <t>コウ</t>
    </rPh>
    <phoneticPr fontId="1"/>
  </si>
  <si>
    <t>の規定による許可を受けたいので申請します。また、多目的広場の利用についても併せて申請します。</t>
    <rPh sb="6" eb="8">
      <t>キョカ</t>
    </rPh>
    <rPh sb="9" eb="10">
      <t>ウ</t>
    </rPh>
    <rPh sb="15" eb="17">
      <t>シンセイ</t>
    </rPh>
    <rPh sb="24" eb="27">
      <t>タモクテキ</t>
    </rPh>
    <rPh sb="27" eb="29">
      <t>ヒロバ</t>
    </rPh>
    <rPh sb="30" eb="32">
      <t>リヨウ</t>
    </rPh>
    <phoneticPr fontId="1"/>
  </si>
  <si>
    <t>申請者において清掃後、ゴミは持ち帰る。その他、原状に復する。</t>
    <rPh sb="0" eb="3">
      <t>シンセイシャ</t>
    </rPh>
    <rPh sb="7" eb="9">
      <t>セイソウ</t>
    </rPh>
    <rPh sb="9" eb="10">
      <t>ゴ</t>
    </rPh>
    <rPh sb="14" eb="15">
      <t>モ</t>
    </rPh>
    <rPh sb="16" eb="17">
      <t>カエ</t>
    </rPh>
    <rPh sb="21" eb="22">
      <t>タ</t>
    </rPh>
    <rPh sb="23" eb="25">
      <t>ゲンジョウ</t>
    </rPh>
    <rPh sb="26" eb="27">
      <t>フク</t>
    </rPh>
    <phoneticPr fontId="1"/>
  </si>
  <si>
    <t>令和　年　月　日(　)　時　分～令和　年　月　日(　)　時　分まで　</t>
    <rPh sb="0" eb="2">
      <t>レイワ</t>
    </rPh>
    <rPh sb="3" eb="4">
      <t>ネン</t>
    </rPh>
    <rPh sb="5" eb="6">
      <t>ガツ</t>
    </rPh>
    <rPh sb="7" eb="8">
      <t>ニチ</t>
    </rPh>
    <rPh sb="12" eb="13">
      <t>ジ</t>
    </rPh>
    <rPh sb="14" eb="15">
      <t>フン</t>
    </rPh>
    <rPh sb="16" eb="18">
      <t>レイワ</t>
    </rPh>
    <rPh sb="19" eb="20">
      <t>ネン</t>
    </rPh>
    <rPh sb="21" eb="22">
      <t>ガツ</t>
    </rPh>
    <rPh sb="23" eb="24">
      <t>ニチ</t>
    </rPh>
    <rPh sb="28" eb="29">
      <t>ジ</t>
    </rPh>
    <rPh sb="30" eb="31">
      <t>フン</t>
    </rPh>
    <phoneticPr fontId="1"/>
  </si>
  <si>
    <t>長野市大字鶴賀緑町1613番地</t>
    <rPh sb="0" eb="3">
      <t>ナガノシ</t>
    </rPh>
    <rPh sb="3" eb="5">
      <t>オオアザ</t>
    </rPh>
    <rPh sb="5" eb="7">
      <t>ツルガ</t>
    </rPh>
    <rPh sb="7" eb="8">
      <t>ミドリ</t>
    </rPh>
    <rPh sb="8" eb="9">
      <t>マチ</t>
    </rPh>
    <rPh sb="13" eb="15">
      <t>バンチ</t>
    </rPh>
    <phoneticPr fontId="1"/>
  </si>
  <si>
    <t>380-8512</t>
    <phoneticPr fontId="1"/>
  </si>
  <si>
    <t>備品類の使用
※は音響機器を使うイベントは必ず使用してください。</t>
    <rPh sb="0" eb="2">
      <t>ビヒン</t>
    </rPh>
    <rPh sb="2" eb="3">
      <t>ルイ</t>
    </rPh>
    <rPh sb="4" eb="6">
      <t>シヨウ</t>
    </rPh>
    <rPh sb="9" eb="11">
      <t>オンキョウ</t>
    </rPh>
    <rPh sb="11" eb="13">
      <t>キキ</t>
    </rPh>
    <rPh sb="14" eb="15">
      <t>ツカ</t>
    </rPh>
    <rPh sb="21" eb="22">
      <t>カナラ</t>
    </rPh>
    <rPh sb="23" eb="25">
      <t>シヨウ</t>
    </rPh>
    <phoneticPr fontId="1"/>
  </si>
  <si>
    <t>吊下げバトン</t>
    <rPh sb="0" eb="2">
      <t>ツリサ</t>
    </rPh>
    <phoneticPr fontId="1"/>
  </si>
  <si>
    <t>　</t>
  </si>
  <si>
    <t>〇</t>
    <phoneticPr fontId="1"/>
  </si>
  <si>
    <t>※ E 全エリアを選択した場合は、</t>
    <rPh sb="4" eb="5">
      <t>ゼン</t>
    </rPh>
    <rPh sb="9" eb="11">
      <t>センタク</t>
    </rPh>
    <rPh sb="13" eb="15">
      <t>バアイ</t>
    </rPh>
    <phoneticPr fontId="1"/>
  </si>
  <si>
    <t>キッチンカーでの販売及びダンス・音楽演奏などのステージ発表</t>
    <rPh sb="8" eb="10">
      <t>ハンバイ</t>
    </rPh>
    <rPh sb="10" eb="11">
      <t>オヨ</t>
    </rPh>
    <rPh sb="16" eb="18">
      <t>オンガク</t>
    </rPh>
    <rPh sb="18" eb="20">
      <t>エンソウ</t>
    </rPh>
    <rPh sb="27" eb="29">
      <t>ハッピョウ</t>
    </rPh>
    <phoneticPr fontId="1"/>
  </si>
  <si>
    <t>中心市街地の活性化を目的として、「〇〇〇フェスティバル」を実施</t>
    <rPh sb="0" eb="2">
      <t>チュウシン</t>
    </rPh>
    <rPh sb="2" eb="5">
      <t>シガイチ</t>
    </rPh>
    <rPh sb="6" eb="9">
      <t>カッセイカ</t>
    </rPh>
    <rPh sb="10" eb="12">
      <t>モクテキ</t>
    </rPh>
    <rPh sb="29" eb="31">
      <t>ジッシ</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</si>
</sst>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411]ggge&quot;年&quot;m&quot;月&quot;d&quot;日&quot;;@"/>
    <numFmt numFmtId="177" formatCode="[$-411]ge\.m\.d;@"/>
  </numFmts>
  <fonts count="13" x14ac:knownFonts="1">
    <font>
      <sz val="11"/>
      <color theme="1"/>
      <name val="游ゴシック"/>
      <family val="2"/>
      <scheme val="minor"/>
    </font>
    <font>
      <sz val="6"/>
      <name val="游ゴシック"/>
      <family val="3"/>
      <charset val="128"/>
      <scheme val="minor"/>
    </font>
    <font>
      <sz val="8"/>
      <color theme="1"/>
      <name val="游ゴシック"/>
      <family val="2"/>
      <scheme val="minor"/>
    </font>
    <font>
      <sz val="8"/>
      <color theme="1"/>
      <name val="游ゴシック"/>
      <family val="3"/>
      <charset val="128"/>
      <scheme val="minor"/>
    </font>
    <font>
      <sz val="10"/>
      <color theme="1"/>
      <name val="游ゴシック"/>
      <family val="2"/>
      <scheme val="minor"/>
    </font>
    <font>
      <sz val="10"/>
      <color theme="1"/>
      <name val="游ゴシック"/>
      <family val="3"/>
      <charset val="128"/>
      <scheme val="minor"/>
    </font>
    <font>
      <sz val="11"/>
      <name val="ＭＳ Ｐゴシック"/>
      <family val="3"/>
      <charset val="128"/>
    </font>
    <font>
      <sz val="6"/>
      <name val="ＭＳ Ｐゴシック"/>
      <family val="3"/>
      <charset val="128"/>
    </font>
    <font>
      <b/>
      <sz val="11"/>
      <color theme="0"/>
      <name val="ＭＳ Ｐゴシック"/>
      <family val="3"/>
      <charset val="128"/>
    </font>
    <font>
      <b/>
      <sz val="11"/>
      <color theme="1"/>
      <name val="游ゴシック"/>
      <family val="3"/>
      <charset val="128"/>
      <scheme val="minor"/>
    </font>
    <font>
      <b/>
      <sz val="10"/>
      <color theme="1"/>
      <name val="游ゴシック"/>
      <family val="3"/>
      <charset val="128"/>
      <scheme val="minor"/>
    </font>
    <font>
      <sz val="9"/>
      <color theme="1"/>
      <name val="游ゴシック"/>
      <family val="2"/>
      <scheme val="minor"/>
    </font>
    <font>
      <sz val="9"/>
      <color theme="1"/>
      <name val="游ゴシック"/>
      <family val="3"/>
      <charset val="128"/>
      <scheme val="minor"/>
    </font>
  </fonts>
  <fills count="4">
    <fill>
      <patternFill patternType="none"/>
    </fill>
    <fill>
      <patternFill patternType="gray125"/>
    </fill>
    <fill>
      <patternFill patternType="solid">
        <fgColor rgb="FFFFC000"/>
        <bgColor indexed="64"/>
      </patternFill>
    </fill>
    <fill>
      <patternFill patternType="solid">
        <fgColor rgb="FFFF0000"/>
        <bgColor indexed="64"/>
      </patternFill>
    </fill>
  </fills>
  <borders count="41">
    <border>
      <left/>
      <right/>
      <top/>
      <bottom/>
      <diagonal/>
    </border>
    <border>
      <left/>
      <right/>
      <top/>
      <bottom style="thin">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right style="medium">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hair">
        <color indexed="64"/>
      </bottom>
      <diagonal/>
    </border>
    <border>
      <left/>
      <right style="medium">
        <color indexed="64"/>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top style="thin">
        <color indexed="64"/>
      </top>
      <bottom style="hair">
        <color indexed="64"/>
      </bottom>
      <diagonal/>
    </border>
    <border>
      <left/>
      <right style="medium">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top/>
      <bottom style="hair">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diagonal/>
    </border>
    <border>
      <left/>
      <right style="medium">
        <color indexed="64"/>
      </right>
      <top style="hair">
        <color indexed="64"/>
      </top>
      <bottom/>
      <diagonal/>
    </border>
    <border>
      <left style="thin">
        <color indexed="64"/>
      </left>
      <right style="hair">
        <color indexed="64"/>
      </right>
      <top style="thin">
        <color indexed="64"/>
      </top>
      <bottom/>
      <diagonal/>
    </border>
    <border>
      <left style="thin">
        <color indexed="64"/>
      </left>
      <right style="hair">
        <color indexed="64"/>
      </right>
      <top/>
      <bottom style="hair">
        <color indexed="64"/>
      </bottom>
      <diagonal/>
    </border>
  </borders>
  <cellStyleXfs count="2">
    <xf numFmtId="0" fontId="0" fillId="0" borderId="0"/>
    <xf numFmtId="0" fontId="6" fillId="0" borderId="0"/>
  </cellStyleXfs>
  <cellXfs count="159">
    <xf numFmtId="0" fontId="0" fillId="0" borderId="0" xfId="0"/>
    <xf numFmtId="0" fontId="0" fillId="0" borderId="0" xfId="0" applyAlignment="1">
      <alignment shrinkToFit="1"/>
    </xf>
    <xf numFmtId="0" fontId="4" fillId="0" borderId="0" xfId="0" applyFont="1"/>
    <xf numFmtId="0" fontId="5" fillId="0" borderId="0" xfId="0" applyFont="1" applyAlignment="1">
      <alignment shrinkToFit="1"/>
    </xf>
    <xf numFmtId="0" fontId="4" fillId="0" borderId="1" xfId="0" applyFont="1" applyBorder="1"/>
    <xf numFmtId="0" fontId="4" fillId="0" borderId="2" xfId="0" applyFont="1" applyBorder="1"/>
    <xf numFmtId="0" fontId="4" fillId="0" borderId="3" xfId="0" applyFont="1" applyBorder="1"/>
    <xf numFmtId="0" fontId="4" fillId="0" borderId="4" xfId="0" applyFont="1" applyBorder="1"/>
    <xf numFmtId="0" fontId="4" fillId="0" borderId="5" xfId="0" applyFont="1" applyBorder="1"/>
    <xf numFmtId="0" fontId="4" fillId="0" borderId="11" xfId="0" applyFont="1" applyBorder="1"/>
    <xf numFmtId="0" fontId="4" fillId="0" borderId="16" xfId="0" applyFont="1" applyBorder="1"/>
    <xf numFmtId="0" fontId="4" fillId="0" borderId="17" xfId="0" applyFont="1" applyBorder="1"/>
    <xf numFmtId="0" fontId="0" fillId="2" borderId="22" xfId="0" applyFill="1" applyBorder="1" applyAlignment="1">
      <alignment horizontal="center" vertical="center" shrinkToFit="1"/>
    </xf>
    <xf numFmtId="49" fontId="0" fillId="2" borderId="22" xfId="0" applyNumberFormat="1" applyFill="1" applyBorder="1" applyAlignment="1">
      <alignment horizontal="center" vertical="center" shrinkToFit="1"/>
    </xf>
    <xf numFmtId="0" fontId="0" fillId="2" borderId="0" xfId="0" applyFill="1" applyAlignment="1">
      <alignment horizontal="center" vertical="center" shrinkToFit="1"/>
    </xf>
    <xf numFmtId="0" fontId="0" fillId="0" borderId="0" xfId="0" applyAlignment="1">
      <alignment horizontal="center" vertical="center" shrinkToFit="1"/>
    </xf>
    <xf numFmtId="0" fontId="4" fillId="0" borderId="24" xfId="0" applyFont="1" applyBorder="1"/>
    <xf numFmtId="0" fontId="4" fillId="0" borderId="27" xfId="0" applyFont="1" applyBorder="1"/>
    <xf numFmtId="0" fontId="4" fillId="0" borderId="26" xfId="0" applyFont="1" applyBorder="1"/>
    <xf numFmtId="0" fontId="4" fillId="0" borderId="29" xfId="0" applyFont="1" applyBorder="1"/>
    <xf numFmtId="0" fontId="4" fillId="0" borderId="30" xfId="0" applyFont="1" applyBorder="1"/>
    <xf numFmtId="0" fontId="4" fillId="0" borderId="18" xfId="0" applyFont="1" applyBorder="1"/>
    <xf numFmtId="0" fontId="4" fillId="0" borderId="19" xfId="0" applyFont="1" applyBorder="1"/>
    <xf numFmtId="177" fontId="0" fillId="2" borderId="22" xfId="0" applyNumberFormat="1" applyFill="1" applyBorder="1" applyAlignment="1">
      <alignment horizontal="center" vertical="center" shrinkToFit="1"/>
    </xf>
    <xf numFmtId="177" fontId="0" fillId="0" borderId="0" xfId="0" applyNumberFormat="1" applyAlignment="1">
      <alignment shrinkToFit="1"/>
    </xf>
    <xf numFmtId="0" fontId="0" fillId="0" borderId="12" xfId="0" applyBorder="1" applyAlignment="1">
      <alignment shrinkToFit="1"/>
    </xf>
    <xf numFmtId="0" fontId="0" fillId="0" borderId="8" xfId="0" applyBorder="1" applyAlignment="1">
      <alignment shrinkToFit="1"/>
    </xf>
    <xf numFmtId="0" fontId="0" fillId="0" borderId="14" xfId="0" applyBorder="1" applyAlignment="1">
      <alignment shrinkToFit="1"/>
    </xf>
    <xf numFmtId="0" fontId="0" fillId="0" borderId="10" xfId="0" applyBorder="1" applyAlignment="1">
      <alignment shrinkToFit="1"/>
    </xf>
    <xf numFmtId="0" fontId="0" fillId="0" borderId="15" xfId="0" applyBorder="1" applyAlignment="1">
      <alignment shrinkToFit="1"/>
    </xf>
    <xf numFmtId="0" fontId="0" fillId="0" borderId="20" xfId="0" applyBorder="1" applyAlignment="1">
      <alignment shrinkToFit="1"/>
    </xf>
    <xf numFmtId="0" fontId="0" fillId="0" borderId="21" xfId="0" applyBorder="1" applyAlignment="1">
      <alignment vertical="center"/>
    </xf>
    <xf numFmtId="0" fontId="0" fillId="0" borderId="21" xfId="1" applyFont="1" applyBorder="1" applyAlignment="1">
      <alignment vertical="center"/>
    </xf>
    <xf numFmtId="0" fontId="0" fillId="0" borderId="21" xfId="0" applyBorder="1" applyAlignment="1">
      <alignment vertical="center" shrinkToFit="1"/>
    </xf>
    <xf numFmtId="0" fontId="8" fillId="3" borderId="22" xfId="0" applyFont="1" applyFill="1" applyBorder="1" applyAlignment="1">
      <alignment horizontal="center" vertical="center" shrinkToFit="1"/>
    </xf>
    <xf numFmtId="0" fontId="0" fillId="0" borderId="21" xfId="0" applyBorder="1" applyAlignment="1">
      <alignment shrinkToFit="1"/>
    </xf>
    <xf numFmtId="176" fontId="0" fillId="0" borderId="21" xfId="0" applyNumberFormat="1" applyBorder="1" applyAlignment="1">
      <alignment shrinkToFit="1"/>
    </xf>
    <xf numFmtId="0" fontId="9" fillId="0" borderId="0" xfId="0" applyFont="1"/>
    <xf numFmtId="0" fontId="10" fillId="0" borderId="0" xfId="0" applyFont="1"/>
    <xf numFmtId="0" fontId="4" fillId="0" borderId="34" xfId="0" applyFont="1" applyBorder="1"/>
    <xf numFmtId="0" fontId="4" fillId="0" borderId="35" xfId="0" applyFont="1" applyBorder="1"/>
    <xf numFmtId="0" fontId="4" fillId="0" borderId="10" xfId="0" applyFont="1" applyBorder="1"/>
    <xf numFmtId="0" fontId="4" fillId="0" borderId="20" xfId="0" applyFont="1" applyBorder="1"/>
    <xf numFmtId="0" fontId="4" fillId="0" borderId="12" xfId="0" applyFont="1" applyBorder="1"/>
    <xf numFmtId="0" fontId="4" fillId="0" borderId="7" xfId="0" applyFont="1" applyBorder="1"/>
    <xf numFmtId="0" fontId="4" fillId="0" borderId="13" xfId="0" applyFont="1" applyBorder="1"/>
    <xf numFmtId="0" fontId="4" fillId="0" borderId="31" xfId="0" applyFont="1" applyBorder="1"/>
    <xf numFmtId="0" fontId="4" fillId="0" borderId="14" xfId="0" applyFont="1" applyBorder="1"/>
    <xf numFmtId="0" fontId="4" fillId="0" borderId="27" xfId="0" applyFont="1" applyBorder="1" applyAlignment="1">
      <alignment horizontal="center"/>
    </xf>
    <xf numFmtId="0" fontId="11" fillId="0" borderId="0" xfId="0" applyFont="1"/>
    <xf numFmtId="0" fontId="12" fillId="0" borderId="5" xfId="0" applyFont="1" applyBorder="1"/>
    <xf numFmtId="0" fontId="4" fillId="0" borderId="30" xfId="0" applyFont="1" applyBorder="1" applyAlignment="1">
      <alignment horizontal="center"/>
    </xf>
    <xf numFmtId="0" fontId="4" fillId="0" borderId="25" xfId="0" applyFont="1" applyBorder="1" applyAlignment="1">
      <alignment horizontal="center"/>
    </xf>
    <xf numFmtId="0" fontId="4" fillId="0" borderId="30" xfId="0" applyFont="1" applyBorder="1" applyAlignment="1">
      <alignment horizontal="center" vertical="center"/>
    </xf>
    <xf numFmtId="0" fontId="4" fillId="0" borderId="25" xfId="0" applyFont="1" applyBorder="1" applyAlignment="1">
      <alignment horizontal="center" vertical="center"/>
    </xf>
    <xf numFmtId="0" fontId="4" fillId="0" borderId="27" xfId="0" applyFont="1" applyBorder="1" applyAlignment="1">
      <alignment horizontal="center" vertical="center"/>
    </xf>
    <xf numFmtId="0" fontId="4" fillId="0" borderId="37" xfId="0" applyFont="1" applyBorder="1" applyAlignment="1">
      <alignment horizontal="left" vertical="center"/>
    </xf>
    <xf numFmtId="0" fontId="4" fillId="0" borderId="38" xfId="0" applyFont="1" applyBorder="1" applyAlignment="1">
      <alignment horizontal="left" vertical="center"/>
    </xf>
    <xf numFmtId="0" fontId="4" fillId="0" borderId="16" xfId="0" applyFont="1" applyBorder="1" applyAlignment="1">
      <alignment horizontal="left" vertical="center"/>
    </xf>
    <xf numFmtId="0" fontId="4" fillId="0" borderId="17" xfId="0" applyFont="1" applyBorder="1" applyAlignment="1">
      <alignment horizontal="left" vertical="center"/>
    </xf>
    <xf numFmtId="0" fontId="4" fillId="0" borderId="0" xfId="0" applyFont="1" applyAlignment="1">
      <alignment horizontal="right"/>
    </xf>
    <xf numFmtId="0" fontId="4" fillId="0" borderId="6" xfId="0" applyFont="1" applyBorder="1" applyAlignment="1">
      <alignment horizontal="center" wrapText="1"/>
    </xf>
    <xf numFmtId="0" fontId="4" fillId="0" borderId="7" xfId="0" applyFont="1" applyBorder="1" applyAlignment="1">
      <alignment horizontal="center" wrapText="1"/>
    </xf>
    <xf numFmtId="0" fontId="4" fillId="0" borderId="8" xfId="0" applyFont="1" applyBorder="1" applyAlignment="1">
      <alignment horizontal="center" wrapText="1"/>
    </xf>
    <xf numFmtId="0" fontId="4" fillId="0" borderId="32" xfId="0" applyFont="1" applyBorder="1" applyAlignment="1">
      <alignment horizontal="center" wrapText="1"/>
    </xf>
    <xf numFmtId="0" fontId="4" fillId="0" borderId="2" xfId="0" applyFont="1" applyBorder="1" applyAlignment="1">
      <alignment horizontal="center" wrapText="1"/>
    </xf>
    <xf numFmtId="0" fontId="4" fillId="0" borderId="33" xfId="0" applyFont="1" applyBorder="1" applyAlignment="1">
      <alignment horizontal="center" wrapText="1"/>
    </xf>
    <xf numFmtId="0" fontId="4" fillId="0" borderId="0" xfId="0" applyFont="1" applyAlignment="1">
      <alignment horizontal="left" vertical="center"/>
    </xf>
    <xf numFmtId="0" fontId="4" fillId="0" borderId="2" xfId="0" applyFont="1" applyBorder="1" applyAlignment="1">
      <alignment horizontal="left" vertical="center"/>
    </xf>
    <xf numFmtId="0" fontId="4" fillId="0" borderId="12"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0" xfId="0" applyFont="1" applyAlignment="1">
      <alignment horizontal="center" vertical="center" wrapText="1"/>
    </xf>
    <xf numFmtId="0" fontId="4" fillId="0" borderId="10"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0" xfId="0" applyFont="1" applyBorder="1" applyAlignment="1">
      <alignment horizontal="center" vertical="center" wrapText="1"/>
    </xf>
    <xf numFmtId="0" fontId="5" fillId="0" borderId="7" xfId="0" applyFont="1" applyBorder="1" applyAlignment="1">
      <alignment horizontal="left" vertical="top" wrapText="1"/>
    </xf>
    <xf numFmtId="0" fontId="5" fillId="0" borderId="7" xfId="0" applyFont="1" applyBorder="1" applyAlignment="1">
      <alignment horizontal="left" vertical="top"/>
    </xf>
    <xf numFmtId="0" fontId="5" fillId="0" borderId="13" xfId="0" applyFont="1" applyBorder="1" applyAlignment="1">
      <alignment horizontal="left" vertical="top"/>
    </xf>
    <xf numFmtId="0" fontId="5" fillId="0" borderId="0" xfId="0" applyFont="1" applyAlignment="1">
      <alignment horizontal="left" vertical="top"/>
    </xf>
    <xf numFmtId="0" fontId="5" fillId="0" borderId="3" xfId="0" applyFont="1" applyBorder="1" applyAlignment="1">
      <alignment horizontal="left" vertical="top"/>
    </xf>
    <xf numFmtId="0" fontId="5" fillId="0" borderId="1" xfId="0" applyFont="1" applyBorder="1" applyAlignment="1">
      <alignment horizontal="left" vertical="top"/>
    </xf>
    <xf numFmtId="0" fontId="5" fillId="0" borderId="11" xfId="0" applyFont="1" applyBorder="1" applyAlignment="1">
      <alignment horizontal="left" vertical="top"/>
    </xf>
    <xf numFmtId="0" fontId="4" fillId="0" borderId="7" xfId="0" applyFont="1" applyBorder="1" applyAlignment="1">
      <alignment horizontal="left" vertical="top"/>
    </xf>
    <xf numFmtId="0" fontId="4" fillId="0" borderId="13" xfId="0" applyFont="1" applyBorder="1" applyAlignment="1">
      <alignment horizontal="left" vertical="top"/>
    </xf>
    <xf numFmtId="0" fontId="4" fillId="0" borderId="0" xfId="0" applyFont="1" applyAlignment="1">
      <alignment horizontal="left" vertical="top"/>
    </xf>
    <xf numFmtId="0" fontId="4" fillId="0" borderId="3" xfId="0" applyFont="1" applyBorder="1" applyAlignment="1">
      <alignment horizontal="left" vertical="top"/>
    </xf>
    <xf numFmtId="0" fontId="4" fillId="0" borderId="1" xfId="0" applyFont="1" applyBorder="1" applyAlignment="1">
      <alignment horizontal="left" vertical="top"/>
    </xf>
    <xf numFmtId="0" fontId="4" fillId="0" borderId="11" xfId="0" applyFont="1" applyBorder="1" applyAlignment="1">
      <alignment horizontal="left" vertical="top"/>
    </xf>
    <xf numFmtId="0" fontId="4" fillId="0" borderId="24" xfId="0" applyFont="1" applyBorder="1" applyAlignment="1">
      <alignment horizontal="center" shrinkToFit="1"/>
    </xf>
    <xf numFmtId="0" fontId="4" fillId="0" borderId="23" xfId="0" applyFont="1" applyBorder="1" applyAlignment="1">
      <alignment horizontal="center" shrinkToFit="1"/>
    </xf>
    <xf numFmtId="0" fontId="4" fillId="0" borderId="16" xfId="0" applyFont="1" applyBorder="1" applyAlignment="1">
      <alignment horizontal="center" shrinkToFit="1"/>
    </xf>
    <xf numFmtId="0" fontId="4" fillId="0" borderId="0" xfId="0" applyFont="1" applyAlignment="1">
      <alignment horizontal="center" shrinkToFit="1"/>
    </xf>
    <xf numFmtId="0" fontId="4" fillId="0" borderId="3" xfId="0" applyFont="1" applyBorder="1" applyAlignment="1">
      <alignment horizontal="center" shrinkToFit="1"/>
    </xf>
    <xf numFmtId="0" fontId="4" fillId="0" borderId="14" xfId="0" applyFont="1" applyBorder="1" applyAlignment="1">
      <alignment horizontal="center"/>
    </xf>
    <xf numFmtId="0" fontId="4" fillId="0" borderId="0" xfId="0" applyFont="1" applyAlignment="1">
      <alignment horizontal="center"/>
    </xf>
    <xf numFmtId="0" fontId="4" fillId="0" borderId="31" xfId="0" applyFont="1" applyBorder="1" applyAlignment="1">
      <alignment horizontal="center"/>
    </xf>
    <xf numFmtId="0" fontId="4" fillId="0" borderId="16" xfId="0" applyFont="1" applyBorder="1" applyAlignment="1">
      <alignment horizontal="center"/>
    </xf>
    <xf numFmtId="0" fontId="4" fillId="0" borderId="1"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4" fillId="0" borderId="9" xfId="0" applyFont="1" applyBorder="1" applyAlignment="1">
      <alignment horizontal="center"/>
    </xf>
    <xf numFmtId="0" fontId="4" fillId="0" borderId="10" xfId="0" applyFont="1" applyBorder="1" applyAlignment="1">
      <alignment horizontal="center"/>
    </xf>
    <xf numFmtId="0" fontId="4" fillId="0" borderId="5" xfId="0" applyFont="1" applyBorder="1" applyAlignment="1">
      <alignment horizontal="center"/>
    </xf>
    <xf numFmtId="0" fontId="4" fillId="0" borderId="20" xfId="0" applyFont="1" applyBorder="1" applyAlignment="1">
      <alignment horizontal="center"/>
    </xf>
    <xf numFmtId="0" fontId="4" fillId="0" borderId="36" xfId="0" applyFont="1" applyBorder="1" applyAlignment="1">
      <alignment horizontal="center"/>
    </xf>
    <xf numFmtId="0" fontId="4" fillId="0" borderId="26" xfId="0" applyFont="1" applyBorder="1" applyAlignment="1">
      <alignment horizontal="center"/>
    </xf>
    <xf numFmtId="0" fontId="4" fillId="0" borderId="27" xfId="0" applyFont="1" applyBorder="1" applyAlignment="1">
      <alignment horizontal="center"/>
    </xf>
    <xf numFmtId="0" fontId="4" fillId="0" borderId="26" xfId="0" applyFont="1" applyBorder="1" applyAlignment="1">
      <alignment horizontal="left"/>
    </xf>
    <xf numFmtId="0" fontId="11" fillId="0" borderId="6" xfId="0" applyFont="1" applyBorder="1" applyAlignment="1">
      <alignment horizontal="center" vertical="center" wrapText="1"/>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2" fillId="0" borderId="0" xfId="0" applyFont="1" applyAlignment="1">
      <alignment horizontal="center" vertical="center"/>
    </xf>
    <xf numFmtId="0" fontId="12" fillId="0" borderId="10" xfId="0" applyFont="1" applyBorder="1" applyAlignment="1">
      <alignment horizontal="center" vertical="center"/>
    </xf>
    <xf numFmtId="0" fontId="12" fillId="0" borderId="5" xfId="0" applyFont="1" applyBorder="1" applyAlignment="1">
      <alignment horizontal="center" vertical="center"/>
    </xf>
    <xf numFmtId="0" fontId="12" fillId="0" borderId="1" xfId="0" applyFont="1" applyBorder="1" applyAlignment="1">
      <alignment horizontal="center" vertical="center"/>
    </xf>
    <xf numFmtId="0" fontId="12" fillId="0" borderId="20" xfId="0" applyFont="1" applyBorder="1" applyAlignment="1">
      <alignment horizontal="center" vertical="center"/>
    </xf>
    <xf numFmtId="0" fontId="4" fillId="0" borderId="28" xfId="0" applyFont="1" applyBorder="1" applyAlignment="1">
      <alignment horizontal="center" shrinkToFit="1"/>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0" xfId="0" applyFont="1" applyAlignment="1">
      <alignment horizontal="center" vertical="center"/>
    </xf>
    <xf numFmtId="0" fontId="4" fillId="0" borderId="10" xfId="0" applyFont="1" applyBorder="1" applyAlignment="1">
      <alignment horizontal="center" vertical="center"/>
    </xf>
    <xf numFmtId="0" fontId="4" fillId="0" borderId="1" xfId="0" applyFont="1" applyBorder="1" applyAlignment="1">
      <alignment horizontal="center" vertical="center"/>
    </xf>
    <xf numFmtId="0" fontId="4" fillId="0" borderId="20" xfId="0" applyFont="1" applyBorder="1" applyAlignment="1">
      <alignment horizontal="center" vertical="center"/>
    </xf>
    <xf numFmtId="0" fontId="5" fillId="0" borderId="0" xfId="0" applyFont="1" applyAlignment="1">
      <alignment horizontal="left"/>
    </xf>
    <xf numFmtId="0" fontId="5" fillId="0" borderId="3" xfId="0" applyFont="1" applyBorder="1" applyAlignment="1">
      <alignment horizontal="left"/>
    </xf>
    <xf numFmtId="176" fontId="5" fillId="0" borderId="0" xfId="0" applyNumberFormat="1" applyFont="1" applyAlignment="1">
      <alignment horizontal="center" wrapText="1"/>
    </xf>
    <xf numFmtId="176" fontId="5" fillId="0" borderId="3" xfId="0" applyNumberFormat="1" applyFont="1" applyBorder="1" applyAlignment="1">
      <alignment horizontal="center" wrapText="1"/>
    </xf>
    <xf numFmtId="0" fontId="5" fillId="0" borderId="0" xfId="0" applyFont="1" applyAlignment="1">
      <alignment horizontal="center"/>
    </xf>
    <xf numFmtId="0" fontId="5" fillId="0" borderId="0" xfId="0" applyFont="1" applyAlignment="1">
      <alignment horizontal="left" shrinkToFit="1"/>
    </xf>
    <xf numFmtId="0" fontId="5" fillId="0" borderId="3" xfId="0" applyFont="1" applyBorder="1" applyAlignment="1">
      <alignment horizontal="left" shrinkToFit="1"/>
    </xf>
    <xf numFmtId="0" fontId="5" fillId="0" borderId="0" xfId="0" applyFont="1" applyAlignment="1">
      <alignment horizontal="left" vertical="top" wrapText="1"/>
    </xf>
    <xf numFmtId="0" fontId="5" fillId="0" borderId="3" xfId="0" applyFont="1" applyBorder="1" applyAlignment="1">
      <alignment horizontal="left" vertical="top" wrapText="1"/>
    </xf>
    <xf numFmtId="0" fontId="4" fillId="0" borderId="39" xfId="0" applyFont="1" applyBorder="1" applyAlignment="1">
      <alignment horizontal="center" vertical="center"/>
    </xf>
    <xf numFmtId="0" fontId="4" fillId="0" borderId="40" xfId="0" applyFont="1" applyBorder="1" applyAlignment="1">
      <alignment horizontal="center" vertical="center"/>
    </xf>
    <xf numFmtId="0" fontId="4" fillId="0" borderId="3" xfId="0" applyFont="1" applyBorder="1" applyAlignment="1">
      <alignment horizontal="center" vertical="center" textRotation="255"/>
    </xf>
    <xf numFmtId="0" fontId="5" fillId="0" borderId="6" xfId="0" applyFont="1" applyBorder="1" applyAlignment="1">
      <alignment horizontal="center" wrapText="1"/>
    </xf>
    <xf numFmtId="0" fontId="5" fillId="0" borderId="7" xfId="0" applyFont="1" applyBorder="1" applyAlignment="1">
      <alignment horizontal="center"/>
    </xf>
    <xf numFmtId="0" fontId="5" fillId="0" borderId="8" xfId="0" applyFont="1" applyBorder="1" applyAlignment="1">
      <alignment horizontal="center"/>
    </xf>
    <xf numFmtId="0" fontId="5" fillId="0" borderId="9" xfId="0" applyFont="1" applyBorder="1" applyAlignment="1">
      <alignment horizontal="center"/>
    </xf>
    <xf numFmtId="0" fontId="5" fillId="0" borderId="10" xfId="0" applyFont="1" applyBorder="1" applyAlignment="1">
      <alignment horizontal="center"/>
    </xf>
    <xf numFmtId="0" fontId="5" fillId="0" borderId="5" xfId="0" applyFont="1" applyBorder="1" applyAlignment="1">
      <alignment horizontal="center"/>
    </xf>
    <xf numFmtId="0" fontId="5" fillId="0" borderId="1" xfId="0" applyFont="1" applyBorder="1" applyAlignment="1">
      <alignment horizontal="center"/>
    </xf>
    <xf numFmtId="0" fontId="5" fillId="0" borderId="20" xfId="0" applyFont="1" applyBorder="1" applyAlignment="1">
      <alignment horizontal="center"/>
    </xf>
    <xf numFmtId="0" fontId="4" fillId="0" borderId="6" xfId="0" applyFont="1" applyBorder="1" applyAlignment="1">
      <alignment horizontal="center" vertical="center"/>
    </xf>
    <xf numFmtId="0" fontId="4" fillId="0" borderId="5" xfId="0" applyFont="1" applyBorder="1" applyAlignment="1">
      <alignment horizontal="center" vertical="center"/>
    </xf>
    <xf numFmtId="0" fontId="4" fillId="0" borderId="1" xfId="0" applyFont="1" applyBorder="1" applyAlignment="1">
      <alignment horizontal="center" shrinkToFit="1"/>
    </xf>
    <xf numFmtId="0" fontId="3" fillId="0" borderId="6" xfId="0" applyFont="1" applyBorder="1" applyAlignment="1">
      <alignment horizontal="center"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0" xfId="0" applyFont="1" applyAlignment="1">
      <alignment horizontal="center" vertical="center"/>
    </xf>
    <xf numFmtId="0" fontId="3" fillId="0" borderId="10" xfId="0" applyFont="1" applyBorder="1" applyAlignment="1">
      <alignment horizontal="center" vertical="center"/>
    </xf>
    <xf numFmtId="0" fontId="3" fillId="0" borderId="5" xfId="0" applyFont="1" applyBorder="1" applyAlignment="1">
      <alignment horizontal="center" vertical="center"/>
    </xf>
    <xf numFmtId="0" fontId="3" fillId="0" borderId="1" xfId="0" applyFont="1" applyBorder="1" applyAlignment="1">
      <alignment horizontal="center" vertical="center"/>
    </xf>
    <xf numFmtId="0" fontId="3" fillId="0" borderId="20" xfId="0" applyFont="1" applyBorder="1" applyAlignment="1">
      <alignment horizontal="center" vertical="center"/>
    </xf>
  </cellXfs>
  <cellStyles count="2">
    <cellStyle name="標準" xfId="0" builtinId="0"/>
    <cellStyle name="標準_短期占用データ15年度" xfId="1" xr:uid="{00000000-0005-0000-0000-000001000000}"/>
  </cellStyles>
  <dxfs count="1">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13</xdr:col>
      <xdr:colOff>85726</xdr:colOff>
      <xdr:row>21</xdr:row>
      <xdr:rowOff>95250</xdr:rowOff>
    </xdr:from>
    <xdr:ext cx="1807867" cy="338137"/>
    <xdr:sp macro="" textlink="">
      <xdr:nvSpPr>
        <xdr:cNvPr id="2" name="テキスト ボックス 1">
          <a:extLst>
            <a:ext uri="{FF2B5EF4-FFF2-40B4-BE49-F238E27FC236}">
              <a16:creationId xmlns:a16="http://schemas.microsoft.com/office/drawing/2014/main" id="{00000000-0008-0000-0100-000002000000}"/>
            </a:ext>
          </a:extLst>
        </xdr:cNvPr>
        <xdr:cNvSpPr txBox="1"/>
      </xdr:nvSpPr>
      <xdr:spPr>
        <a:xfrm>
          <a:off x="3057526" y="4405313"/>
          <a:ext cx="1807867" cy="338137"/>
        </a:xfrm>
        <a:prstGeom prst="rect">
          <a:avLst/>
        </a:prstGeom>
        <a:solidFill>
          <a:schemeClr val="accent4">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t>「〇」を入力してください</a:t>
          </a:r>
          <a:endParaRPr kumimoji="1" lang="en-US" altLang="ja-JP" sz="1100"/>
        </a:p>
        <a:p>
          <a:endParaRPr kumimoji="1" lang="ja-JP" altLang="en-US" sz="1100"/>
        </a:p>
      </xdr:txBody>
    </xdr:sp>
    <xdr:clientData/>
  </xdr:oneCellAnchor>
  <xdr:twoCellAnchor>
    <xdr:from>
      <xdr:col>5</xdr:col>
      <xdr:colOff>227867</xdr:colOff>
      <xdr:row>21</xdr:row>
      <xdr:rowOff>9525</xdr:rowOff>
    </xdr:from>
    <xdr:to>
      <xdr:col>6</xdr:col>
      <xdr:colOff>227867</xdr:colOff>
      <xdr:row>25</xdr:row>
      <xdr:rowOff>171450</xdr:rowOff>
    </xdr:to>
    <xdr:sp macro="" textlink="">
      <xdr:nvSpPr>
        <xdr:cNvPr id="3" name="正方形/長方形 2">
          <a:extLst>
            <a:ext uri="{FF2B5EF4-FFF2-40B4-BE49-F238E27FC236}">
              <a16:creationId xmlns:a16="http://schemas.microsoft.com/office/drawing/2014/main" id="{00000000-0008-0000-0100-000003000000}"/>
            </a:ext>
          </a:extLst>
        </xdr:cNvPr>
        <xdr:cNvSpPr/>
      </xdr:nvSpPr>
      <xdr:spPr>
        <a:xfrm>
          <a:off x="1370867" y="4323617"/>
          <a:ext cx="228600" cy="98254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227867</xdr:colOff>
      <xdr:row>22</xdr:row>
      <xdr:rowOff>100013</xdr:rowOff>
    </xdr:from>
    <xdr:to>
      <xdr:col>13</xdr:col>
      <xdr:colOff>13555</xdr:colOff>
      <xdr:row>23</xdr:row>
      <xdr:rowOff>90488</xdr:rowOff>
    </xdr:to>
    <xdr:cxnSp macro="">
      <xdr:nvCxnSpPr>
        <xdr:cNvPr id="5" name="直線矢印コネクタ 4">
          <a:extLst>
            <a:ext uri="{FF2B5EF4-FFF2-40B4-BE49-F238E27FC236}">
              <a16:creationId xmlns:a16="http://schemas.microsoft.com/office/drawing/2014/main" id="{00000000-0008-0000-0100-000005000000}"/>
            </a:ext>
          </a:extLst>
        </xdr:cNvPr>
        <xdr:cNvCxnSpPr>
          <a:endCxn id="3" idx="3"/>
        </xdr:cNvCxnSpPr>
      </xdr:nvCxnSpPr>
      <xdr:spPr>
        <a:xfrm flipH="1">
          <a:off x="1599467" y="4619259"/>
          <a:ext cx="1385888" cy="195629"/>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xdr:colOff>
      <xdr:row>30</xdr:row>
      <xdr:rowOff>200026</xdr:rowOff>
    </xdr:from>
    <xdr:to>
      <xdr:col>7</xdr:col>
      <xdr:colOff>4763</xdr:colOff>
      <xdr:row>38</xdr:row>
      <xdr:rowOff>14288</xdr:rowOff>
    </xdr:to>
    <xdr:sp macro="" textlink="">
      <xdr:nvSpPr>
        <xdr:cNvPr id="6" name="正方形/長方形 5">
          <a:extLst>
            <a:ext uri="{FF2B5EF4-FFF2-40B4-BE49-F238E27FC236}">
              <a16:creationId xmlns:a16="http://schemas.microsoft.com/office/drawing/2014/main" id="{00000000-0008-0000-0100-000006000000}"/>
            </a:ext>
          </a:extLst>
        </xdr:cNvPr>
        <xdr:cNvSpPr/>
      </xdr:nvSpPr>
      <xdr:spPr>
        <a:xfrm>
          <a:off x="1381125" y="6353176"/>
          <a:ext cx="223838" cy="145256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228599</xdr:colOff>
      <xdr:row>34</xdr:row>
      <xdr:rowOff>0</xdr:rowOff>
    </xdr:from>
    <xdr:to>
      <xdr:col>20</xdr:col>
      <xdr:colOff>9524</xdr:colOff>
      <xdr:row>37</xdr:row>
      <xdr:rowOff>4763</xdr:rowOff>
    </xdr:to>
    <xdr:sp macro="" textlink="">
      <xdr:nvSpPr>
        <xdr:cNvPr id="7" name="正方形/長方形 6">
          <a:extLst>
            <a:ext uri="{FF2B5EF4-FFF2-40B4-BE49-F238E27FC236}">
              <a16:creationId xmlns:a16="http://schemas.microsoft.com/office/drawing/2014/main" id="{00000000-0008-0000-0100-000007000000}"/>
            </a:ext>
          </a:extLst>
        </xdr:cNvPr>
        <xdr:cNvSpPr/>
      </xdr:nvSpPr>
      <xdr:spPr>
        <a:xfrm>
          <a:off x="4343399" y="6972300"/>
          <a:ext cx="238125" cy="61912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19050</xdr:colOff>
      <xdr:row>23</xdr:row>
      <xdr:rowOff>23812</xdr:rowOff>
    </xdr:from>
    <xdr:to>
      <xdr:col>13</xdr:col>
      <xdr:colOff>100013</xdr:colOff>
      <xdr:row>31</xdr:row>
      <xdr:rowOff>90487</xdr:rowOff>
    </xdr:to>
    <xdr:cxnSp macro="">
      <xdr:nvCxnSpPr>
        <xdr:cNvPr id="8" name="直線矢印コネクタ 7">
          <a:extLst>
            <a:ext uri="{FF2B5EF4-FFF2-40B4-BE49-F238E27FC236}">
              <a16:creationId xmlns:a16="http://schemas.microsoft.com/office/drawing/2014/main" id="{00000000-0008-0000-0100-000008000000}"/>
            </a:ext>
          </a:extLst>
        </xdr:cNvPr>
        <xdr:cNvCxnSpPr/>
      </xdr:nvCxnSpPr>
      <xdr:spPr>
        <a:xfrm flipH="1">
          <a:off x="1619250" y="4743450"/>
          <a:ext cx="1452563" cy="1704975"/>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9525</xdr:colOff>
      <xdr:row>22</xdr:row>
      <xdr:rowOff>195263</xdr:rowOff>
    </xdr:from>
    <xdr:to>
      <xdr:col>19</xdr:col>
      <xdr:colOff>119062</xdr:colOff>
      <xdr:row>34</xdr:row>
      <xdr:rowOff>0</xdr:rowOff>
    </xdr:to>
    <xdr:cxnSp macro="">
      <xdr:nvCxnSpPr>
        <xdr:cNvPr id="11" name="直線矢印コネクタ 10">
          <a:extLst>
            <a:ext uri="{FF2B5EF4-FFF2-40B4-BE49-F238E27FC236}">
              <a16:creationId xmlns:a16="http://schemas.microsoft.com/office/drawing/2014/main" id="{00000000-0008-0000-0100-00000B000000}"/>
            </a:ext>
          </a:extLst>
        </xdr:cNvPr>
        <xdr:cNvCxnSpPr>
          <a:endCxn id="7" idx="0"/>
        </xdr:cNvCxnSpPr>
      </xdr:nvCxnSpPr>
      <xdr:spPr>
        <a:xfrm>
          <a:off x="3209925" y="4710113"/>
          <a:ext cx="1252537" cy="2262187"/>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F43"/>
  <sheetViews>
    <sheetView view="pageBreakPreview" zoomScale="130" zoomScaleNormal="130" zoomScaleSheetLayoutView="130" workbookViewId="0">
      <selection activeCell="G8" sqref="G8"/>
    </sheetView>
  </sheetViews>
  <sheetFormatPr defaultColWidth="3" defaultRowHeight="16.5" x14ac:dyDescent="0.35"/>
  <cols>
    <col min="1" max="25" width="3" style="2"/>
    <col min="26" max="26" width="4.5" style="2" customWidth="1"/>
    <col min="27" max="16384" width="3" style="2"/>
  </cols>
  <sheetData>
    <row r="2" spans="1:32" ht="18" x14ac:dyDescent="0.35">
      <c r="F2" s="37" t="s">
        <v>0</v>
      </c>
    </row>
    <row r="3" spans="1:32" ht="17.25" thickBot="1" x14ac:dyDescent="0.4">
      <c r="B3" s="5" t="s">
        <v>1</v>
      </c>
      <c r="C3" s="5"/>
      <c r="D3" s="5"/>
      <c r="E3" s="5"/>
      <c r="F3" s="5"/>
      <c r="G3" s="5"/>
      <c r="H3" s="5"/>
      <c r="I3" s="5"/>
      <c r="J3" s="5"/>
      <c r="K3" s="5"/>
      <c r="L3" s="5"/>
      <c r="M3" s="5"/>
      <c r="N3" s="5"/>
      <c r="O3" s="5"/>
      <c r="P3" s="5"/>
      <c r="Q3" s="5"/>
      <c r="R3" s="5"/>
      <c r="S3" s="5"/>
      <c r="T3" s="5"/>
      <c r="U3" s="5"/>
      <c r="V3" s="5"/>
      <c r="W3" s="5"/>
      <c r="X3" s="5"/>
      <c r="Y3" s="5"/>
      <c r="Z3" s="5"/>
    </row>
    <row r="4" spans="1:32" x14ac:dyDescent="0.35">
      <c r="A4" s="6"/>
      <c r="Z4" s="6"/>
    </row>
    <row r="5" spans="1:32" x14ac:dyDescent="0.35">
      <c r="A5" s="138" t="s">
        <v>93</v>
      </c>
      <c r="R5" s="60" t="s">
        <v>100</v>
      </c>
      <c r="S5" s="60"/>
      <c r="T5" s="60"/>
      <c r="U5" s="129"/>
      <c r="V5" s="129"/>
      <c r="W5" s="129"/>
      <c r="X5" s="129"/>
      <c r="Y5" s="129"/>
      <c r="Z5" s="130"/>
    </row>
    <row r="6" spans="1:32" x14ac:dyDescent="0.35">
      <c r="A6" s="138"/>
      <c r="P6" s="2" t="s">
        <v>3</v>
      </c>
      <c r="Q6" s="131"/>
      <c r="R6" s="131"/>
      <c r="S6" s="131"/>
      <c r="T6" s="131"/>
      <c r="U6" s="131"/>
      <c r="V6" s="131"/>
      <c r="Z6" s="6"/>
    </row>
    <row r="7" spans="1:32" x14ac:dyDescent="0.35">
      <c r="A7" s="138"/>
      <c r="O7" s="2" t="s">
        <v>4</v>
      </c>
      <c r="Q7" s="134"/>
      <c r="R7" s="134"/>
      <c r="S7" s="134"/>
      <c r="T7" s="134"/>
      <c r="U7" s="134"/>
      <c r="V7" s="134"/>
      <c r="W7" s="134"/>
      <c r="X7" s="134"/>
      <c r="Y7" s="134"/>
      <c r="Z7" s="135"/>
      <c r="AF7" s="3"/>
    </row>
    <row r="8" spans="1:32" x14ac:dyDescent="0.35">
      <c r="A8" s="138"/>
      <c r="Q8" s="134"/>
      <c r="R8" s="134"/>
      <c r="S8" s="134"/>
      <c r="T8" s="134"/>
      <c r="U8" s="134"/>
      <c r="V8" s="134"/>
      <c r="W8" s="134"/>
      <c r="X8" s="134"/>
      <c r="Y8" s="134"/>
      <c r="Z8" s="135"/>
    </row>
    <row r="9" spans="1:32" x14ac:dyDescent="0.35">
      <c r="A9" s="138"/>
      <c r="L9" s="2" t="s">
        <v>6</v>
      </c>
      <c r="O9" s="2" t="s">
        <v>5</v>
      </c>
      <c r="Q9" s="132"/>
      <c r="R9" s="132"/>
      <c r="S9" s="132"/>
      <c r="T9" s="132"/>
      <c r="U9" s="132"/>
      <c r="V9" s="132"/>
      <c r="W9" s="132"/>
      <c r="X9" s="132"/>
      <c r="Y9" s="132"/>
      <c r="Z9" s="133"/>
    </row>
    <row r="10" spans="1:32" x14ac:dyDescent="0.35">
      <c r="A10" s="138"/>
      <c r="O10" s="2" t="s">
        <v>8</v>
      </c>
      <c r="Q10" s="2" t="s">
        <v>30</v>
      </c>
      <c r="R10" s="2" t="s">
        <v>9</v>
      </c>
      <c r="T10" s="127"/>
      <c r="U10" s="127"/>
      <c r="V10" s="127"/>
      <c r="W10" s="127"/>
      <c r="X10" s="127"/>
      <c r="Y10" s="127"/>
      <c r="Z10" s="128"/>
    </row>
    <row r="11" spans="1:32" x14ac:dyDescent="0.35">
      <c r="A11" s="138"/>
      <c r="R11" s="2" t="s">
        <v>10</v>
      </c>
      <c r="T11" s="127"/>
      <c r="U11" s="127"/>
      <c r="V11" s="127"/>
      <c r="W11" s="127"/>
      <c r="X11" s="127"/>
      <c r="Y11" s="127"/>
      <c r="Z11" s="128"/>
    </row>
    <row r="12" spans="1:32" x14ac:dyDescent="0.35">
      <c r="A12" s="138"/>
      <c r="P12" s="2" t="s">
        <v>11</v>
      </c>
      <c r="T12" s="127"/>
      <c r="U12" s="127"/>
      <c r="V12" s="127"/>
      <c r="W12" s="127"/>
      <c r="X12" s="127"/>
      <c r="Y12" s="127"/>
      <c r="Z12" s="128"/>
    </row>
    <row r="13" spans="1:32" x14ac:dyDescent="0.35">
      <c r="A13" s="138"/>
      <c r="P13" s="2" t="s">
        <v>12</v>
      </c>
      <c r="R13" s="2" t="s">
        <v>13</v>
      </c>
      <c r="T13" s="127"/>
      <c r="U13" s="127"/>
      <c r="V13" s="127"/>
      <c r="W13" s="127"/>
      <c r="X13" s="127"/>
      <c r="Y13" s="127"/>
      <c r="Z13" s="128"/>
    </row>
    <row r="14" spans="1:32" x14ac:dyDescent="0.35">
      <c r="A14" s="138"/>
      <c r="Z14" s="6"/>
    </row>
    <row r="15" spans="1:32" x14ac:dyDescent="0.35">
      <c r="A15" s="138"/>
      <c r="B15" s="49" t="s">
        <v>101</v>
      </c>
      <c r="Z15" s="6"/>
    </row>
    <row r="16" spans="1:32" x14ac:dyDescent="0.35">
      <c r="A16" s="138"/>
      <c r="B16" s="50" t="s">
        <v>102</v>
      </c>
      <c r="C16" s="4"/>
      <c r="D16" s="4"/>
      <c r="E16" s="4"/>
      <c r="F16" s="4"/>
      <c r="G16" s="4"/>
      <c r="H16" s="4"/>
      <c r="I16" s="4"/>
      <c r="J16" s="4"/>
      <c r="K16" s="4"/>
      <c r="L16" s="4"/>
      <c r="M16" s="4"/>
      <c r="N16" s="4"/>
      <c r="O16" s="4"/>
      <c r="P16" s="4"/>
      <c r="Q16" s="4"/>
      <c r="R16" s="4"/>
      <c r="S16" s="4"/>
      <c r="T16" s="4"/>
      <c r="U16" s="4"/>
      <c r="V16" s="4"/>
      <c r="W16" s="4"/>
      <c r="X16" s="4"/>
      <c r="Y16" s="4"/>
      <c r="Z16" s="9"/>
    </row>
    <row r="17" spans="1:26" x14ac:dyDescent="0.35">
      <c r="A17" s="138"/>
      <c r="B17" s="139" t="s">
        <v>14</v>
      </c>
      <c r="C17" s="140"/>
      <c r="D17" s="140"/>
      <c r="E17" s="140"/>
      <c r="F17" s="141"/>
      <c r="G17" s="78"/>
      <c r="H17" s="79"/>
      <c r="I17" s="79"/>
      <c r="J17" s="79"/>
      <c r="K17" s="79"/>
      <c r="L17" s="79"/>
      <c r="M17" s="79"/>
      <c r="N17" s="79"/>
      <c r="O17" s="79"/>
      <c r="P17" s="79"/>
      <c r="Q17" s="79"/>
      <c r="R17" s="79"/>
      <c r="S17" s="79"/>
      <c r="T17" s="79"/>
      <c r="U17" s="79"/>
      <c r="V17" s="79"/>
      <c r="W17" s="79"/>
      <c r="X17" s="79"/>
      <c r="Y17" s="79"/>
      <c r="Z17" s="80"/>
    </row>
    <row r="18" spans="1:26" x14ac:dyDescent="0.35">
      <c r="A18" s="138"/>
      <c r="B18" s="142"/>
      <c r="C18" s="131"/>
      <c r="D18" s="131"/>
      <c r="E18" s="131"/>
      <c r="F18" s="143"/>
      <c r="G18" s="81"/>
      <c r="H18" s="81"/>
      <c r="I18" s="81"/>
      <c r="J18" s="81"/>
      <c r="K18" s="81"/>
      <c r="L18" s="81"/>
      <c r="M18" s="81"/>
      <c r="N18" s="81"/>
      <c r="O18" s="81"/>
      <c r="P18" s="81"/>
      <c r="Q18" s="81"/>
      <c r="R18" s="81"/>
      <c r="S18" s="81"/>
      <c r="T18" s="81"/>
      <c r="U18" s="81"/>
      <c r="V18" s="81"/>
      <c r="W18" s="81"/>
      <c r="X18" s="81"/>
      <c r="Y18" s="81"/>
      <c r="Z18" s="82"/>
    </row>
    <row r="19" spans="1:26" x14ac:dyDescent="0.35">
      <c r="A19" s="138"/>
      <c r="B19" s="144"/>
      <c r="C19" s="145"/>
      <c r="D19" s="145"/>
      <c r="E19" s="145"/>
      <c r="F19" s="146"/>
      <c r="G19" s="83"/>
      <c r="H19" s="83"/>
      <c r="I19" s="83"/>
      <c r="J19" s="83"/>
      <c r="K19" s="83"/>
      <c r="L19" s="83"/>
      <c r="M19" s="83"/>
      <c r="N19" s="83"/>
      <c r="O19" s="83"/>
      <c r="P19" s="83"/>
      <c r="Q19" s="83"/>
      <c r="R19" s="83"/>
      <c r="S19" s="83"/>
      <c r="T19" s="83"/>
      <c r="U19" s="83"/>
      <c r="V19" s="83"/>
      <c r="W19" s="83"/>
      <c r="X19" s="83"/>
      <c r="Y19" s="83"/>
      <c r="Z19" s="84"/>
    </row>
    <row r="20" spans="1:26" x14ac:dyDescent="0.35">
      <c r="A20" s="138"/>
      <c r="B20" s="147" t="s">
        <v>17</v>
      </c>
      <c r="C20" s="121"/>
      <c r="D20" s="121"/>
      <c r="E20" s="121"/>
      <c r="F20" s="122"/>
      <c r="G20" s="120" t="s">
        <v>18</v>
      </c>
      <c r="H20" s="91"/>
      <c r="I20" s="91"/>
      <c r="J20" s="91" t="s">
        <v>104</v>
      </c>
      <c r="K20" s="91"/>
      <c r="L20" s="91"/>
      <c r="M20" s="91"/>
      <c r="N20" s="91"/>
      <c r="O20" s="91"/>
      <c r="P20" s="91"/>
      <c r="Q20" s="91"/>
      <c r="R20" s="91"/>
      <c r="S20" s="91"/>
      <c r="T20" s="91"/>
      <c r="U20" s="91"/>
      <c r="V20" s="91"/>
      <c r="W20" s="91"/>
      <c r="X20" s="91"/>
      <c r="Y20" s="91"/>
      <c r="Z20" s="92"/>
    </row>
    <row r="21" spans="1:26" x14ac:dyDescent="0.35">
      <c r="A21" s="138"/>
      <c r="B21" s="148"/>
      <c r="C21" s="125"/>
      <c r="D21" s="125"/>
      <c r="E21" s="125"/>
      <c r="F21" s="126"/>
      <c r="G21" s="149" t="s">
        <v>19</v>
      </c>
      <c r="H21" s="149"/>
      <c r="I21" s="149"/>
      <c r="J21" s="93" t="s">
        <v>104</v>
      </c>
      <c r="K21" s="93"/>
      <c r="L21" s="93"/>
      <c r="M21" s="93"/>
      <c r="N21" s="93"/>
      <c r="O21" s="93"/>
      <c r="P21" s="93"/>
      <c r="Q21" s="93"/>
      <c r="R21" s="93"/>
      <c r="S21" s="93"/>
      <c r="T21" s="93"/>
      <c r="U21" s="93"/>
      <c r="V21" s="94"/>
      <c r="W21" s="94"/>
      <c r="X21" s="94"/>
      <c r="Y21" s="94"/>
      <c r="Z21" s="95"/>
    </row>
    <row r="22" spans="1:26" x14ac:dyDescent="0.35">
      <c r="A22" s="6"/>
      <c r="B22" s="150" t="s">
        <v>32</v>
      </c>
      <c r="C22" s="151"/>
      <c r="D22" s="151"/>
      <c r="E22" s="151"/>
      <c r="F22" s="152"/>
      <c r="G22" s="52"/>
      <c r="H22" s="16" t="s">
        <v>20</v>
      </c>
      <c r="I22" s="16" t="s">
        <v>21</v>
      </c>
      <c r="J22" s="16"/>
      <c r="K22" s="16"/>
      <c r="L22" s="16"/>
      <c r="M22" s="16"/>
      <c r="N22" s="16"/>
      <c r="O22" s="16"/>
      <c r="P22" s="39"/>
      <c r="Q22" s="121" t="s">
        <v>33</v>
      </c>
      <c r="R22" s="121"/>
      <c r="S22" s="121"/>
      <c r="T22" s="121"/>
      <c r="U22" s="122"/>
      <c r="V22" s="43" t="s">
        <v>34</v>
      </c>
      <c r="W22" s="44"/>
      <c r="X22" s="44"/>
      <c r="Y22" s="44"/>
      <c r="Z22" s="45"/>
    </row>
    <row r="23" spans="1:26" x14ac:dyDescent="0.35">
      <c r="A23" s="6"/>
      <c r="B23" s="153"/>
      <c r="C23" s="154"/>
      <c r="D23" s="154"/>
      <c r="E23" s="154"/>
      <c r="F23" s="155"/>
      <c r="G23" s="48" t="s">
        <v>109</v>
      </c>
      <c r="H23" s="18" t="s">
        <v>22</v>
      </c>
      <c r="I23" s="18" t="s">
        <v>24</v>
      </c>
      <c r="J23" s="18"/>
      <c r="K23" s="18"/>
      <c r="L23" s="18"/>
      <c r="M23" s="18"/>
      <c r="N23" s="18"/>
      <c r="O23" s="18"/>
      <c r="P23" s="40"/>
      <c r="Q23" s="123"/>
      <c r="R23" s="123"/>
      <c r="S23" s="123"/>
      <c r="T23" s="123"/>
      <c r="U23" s="124"/>
      <c r="V23" s="97"/>
      <c r="W23" s="97"/>
      <c r="X23" s="97"/>
      <c r="Z23" s="6"/>
    </row>
    <row r="24" spans="1:26" x14ac:dyDescent="0.35">
      <c r="A24" s="6"/>
      <c r="B24" s="153"/>
      <c r="C24" s="154"/>
      <c r="D24" s="154"/>
      <c r="E24" s="154"/>
      <c r="F24" s="155"/>
      <c r="G24" s="48" t="s">
        <v>109</v>
      </c>
      <c r="H24" s="18" t="s">
        <v>23</v>
      </c>
      <c r="I24" s="18" t="s">
        <v>26</v>
      </c>
      <c r="J24" s="18"/>
      <c r="K24" s="18"/>
      <c r="L24" s="18"/>
      <c r="M24" s="18"/>
      <c r="N24" s="18"/>
      <c r="O24" s="18"/>
      <c r="P24" s="40"/>
      <c r="Q24" s="123"/>
      <c r="R24" s="123"/>
      <c r="S24" s="123"/>
      <c r="T24" s="123"/>
      <c r="U24" s="124"/>
      <c r="V24" s="99"/>
      <c r="W24" s="99"/>
      <c r="X24" s="99"/>
      <c r="Y24" s="10" t="s">
        <v>35</v>
      </c>
      <c r="Z24" s="11"/>
    </row>
    <row r="25" spans="1:26" x14ac:dyDescent="0.35">
      <c r="A25" s="6"/>
      <c r="B25" s="153"/>
      <c r="C25" s="154"/>
      <c r="D25" s="154"/>
      <c r="E25" s="154"/>
      <c r="F25" s="155"/>
      <c r="G25" s="48" t="s">
        <v>109</v>
      </c>
      <c r="H25" s="18" t="s">
        <v>25</v>
      </c>
      <c r="I25" s="18" t="s">
        <v>28</v>
      </c>
      <c r="J25" s="18"/>
      <c r="K25" s="18"/>
      <c r="L25" s="18"/>
      <c r="M25" s="18"/>
      <c r="N25" s="18"/>
      <c r="O25" s="18"/>
      <c r="P25" s="40"/>
      <c r="Q25" s="123"/>
      <c r="R25" s="123"/>
      <c r="S25" s="123"/>
      <c r="T25" s="123"/>
      <c r="U25" s="124"/>
      <c r="V25" s="2" t="s">
        <v>36</v>
      </c>
      <c r="Z25" s="6"/>
    </row>
    <row r="26" spans="1:26" x14ac:dyDescent="0.35">
      <c r="A26" s="6"/>
      <c r="B26" s="153"/>
      <c r="C26" s="154"/>
      <c r="D26" s="154"/>
      <c r="E26" s="154"/>
      <c r="F26" s="155"/>
      <c r="G26" s="48" t="s">
        <v>109</v>
      </c>
      <c r="H26" s="18" t="s">
        <v>27</v>
      </c>
      <c r="I26" s="18" t="s">
        <v>29</v>
      </c>
      <c r="J26" s="18"/>
      <c r="K26" s="18"/>
      <c r="L26" s="18"/>
      <c r="M26" s="18"/>
      <c r="N26" s="18"/>
      <c r="O26" s="18"/>
      <c r="P26" s="40"/>
      <c r="Q26" s="123"/>
      <c r="R26" s="123"/>
      <c r="S26" s="123"/>
      <c r="T26" s="123"/>
      <c r="U26" s="124"/>
      <c r="V26" s="96"/>
      <c r="W26" s="97"/>
      <c r="X26" s="97"/>
      <c r="Z26" s="6"/>
    </row>
    <row r="27" spans="1:26" x14ac:dyDescent="0.35">
      <c r="A27" s="6"/>
      <c r="B27" s="153"/>
      <c r="C27" s="154"/>
      <c r="D27" s="154"/>
      <c r="E27" s="154"/>
      <c r="F27" s="155"/>
      <c r="G27" s="2" t="s">
        <v>111</v>
      </c>
      <c r="P27" s="41"/>
      <c r="Q27" s="123"/>
      <c r="R27" s="123"/>
      <c r="S27" s="123"/>
      <c r="T27" s="123"/>
      <c r="U27" s="124"/>
      <c r="V27" s="98"/>
      <c r="W27" s="99"/>
      <c r="X27" s="99"/>
      <c r="Y27" s="10" t="s">
        <v>35</v>
      </c>
      <c r="Z27" s="11"/>
    </row>
    <row r="28" spans="1:26" x14ac:dyDescent="0.35">
      <c r="A28" s="6"/>
      <c r="B28" s="156"/>
      <c r="C28" s="157"/>
      <c r="D28" s="157"/>
      <c r="E28" s="157"/>
      <c r="F28" s="158"/>
      <c r="G28" s="4" t="s">
        <v>30</v>
      </c>
      <c r="H28" s="4" t="s">
        <v>31</v>
      </c>
      <c r="I28" s="4"/>
      <c r="J28" s="4"/>
      <c r="K28" s="4"/>
      <c r="L28" s="4"/>
      <c r="M28" s="4"/>
      <c r="N28" s="4"/>
      <c r="O28" s="4"/>
      <c r="P28" s="42"/>
      <c r="Q28" s="125"/>
      <c r="R28" s="125"/>
      <c r="S28" s="125"/>
      <c r="T28" s="125"/>
      <c r="U28" s="126"/>
      <c r="V28" s="4" t="s">
        <v>83</v>
      </c>
      <c r="W28" s="4"/>
      <c r="X28" s="100" t="str">
        <f>IF(COUNTA(V23,V26)&gt;0,V23+V26,"")</f>
        <v/>
      </c>
      <c r="Y28" s="100"/>
      <c r="Z28" s="9" t="s">
        <v>35</v>
      </c>
    </row>
    <row r="29" spans="1:26" x14ac:dyDescent="0.35">
      <c r="A29" s="6"/>
      <c r="B29" s="61" t="s">
        <v>37</v>
      </c>
      <c r="C29" s="101"/>
      <c r="D29" s="101"/>
      <c r="E29" s="101"/>
      <c r="F29" s="102"/>
      <c r="G29" s="85"/>
      <c r="H29" s="85"/>
      <c r="I29" s="85"/>
      <c r="J29" s="85"/>
      <c r="K29" s="85"/>
      <c r="L29" s="85"/>
      <c r="M29" s="85"/>
      <c r="N29" s="85"/>
      <c r="O29" s="85"/>
      <c r="P29" s="85"/>
      <c r="Q29" s="85"/>
      <c r="R29" s="85"/>
      <c r="S29" s="85"/>
      <c r="T29" s="85"/>
      <c r="U29" s="85"/>
      <c r="V29" s="85"/>
      <c r="W29" s="85"/>
      <c r="X29" s="85"/>
      <c r="Y29" s="85"/>
      <c r="Z29" s="86"/>
    </row>
    <row r="30" spans="1:26" x14ac:dyDescent="0.35">
      <c r="A30" s="6"/>
      <c r="B30" s="103"/>
      <c r="C30" s="97"/>
      <c r="D30" s="97"/>
      <c r="E30" s="97"/>
      <c r="F30" s="104"/>
      <c r="G30" s="87"/>
      <c r="H30" s="87"/>
      <c r="I30" s="87"/>
      <c r="J30" s="87"/>
      <c r="K30" s="87"/>
      <c r="L30" s="87"/>
      <c r="M30" s="87"/>
      <c r="N30" s="87"/>
      <c r="O30" s="87"/>
      <c r="P30" s="87"/>
      <c r="Q30" s="87"/>
      <c r="R30" s="87"/>
      <c r="S30" s="87"/>
      <c r="T30" s="87"/>
      <c r="U30" s="87"/>
      <c r="V30" s="87"/>
      <c r="W30" s="87"/>
      <c r="X30" s="87"/>
      <c r="Y30" s="87"/>
      <c r="Z30" s="88"/>
    </row>
    <row r="31" spans="1:26" x14ac:dyDescent="0.35">
      <c r="A31" s="6"/>
      <c r="B31" s="105"/>
      <c r="C31" s="100"/>
      <c r="D31" s="100"/>
      <c r="E31" s="100"/>
      <c r="F31" s="106"/>
      <c r="G31" s="89"/>
      <c r="H31" s="89"/>
      <c r="I31" s="89"/>
      <c r="J31" s="89"/>
      <c r="K31" s="89"/>
      <c r="L31" s="89"/>
      <c r="M31" s="89"/>
      <c r="N31" s="89"/>
      <c r="O31" s="89"/>
      <c r="P31" s="89"/>
      <c r="Q31" s="89"/>
      <c r="R31" s="89"/>
      <c r="S31" s="89"/>
      <c r="T31" s="89"/>
      <c r="U31" s="89"/>
      <c r="V31" s="89"/>
      <c r="W31" s="89"/>
      <c r="X31" s="89"/>
      <c r="Y31" s="89"/>
      <c r="Z31" s="90"/>
    </row>
    <row r="32" spans="1:26" ht="16.149999999999999" customHeight="1" x14ac:dyDescent="0.35">
      <c r="A32" s="6"/>
      <c r="B32" s="111" t="s">
        <v>107</v>
      </c>
      <c r="C32" s="112"/>
      <c r="D32" s="112"/>
      <c r="E32" s="112"/>
      <c r="F32" s="113"/>
      <c r="G32" s="136"/>
      <c r="H32" s="2" t="s">
        <v>39</v>
      </c>
      <c r="K32" s="16"/>
      <c r="L32" s="16"/>
      <c r="M32" s="16"/>
      <c r="Q32" s="69" t="s">
        <v>38</v>
      </c>
      <c r="R32" s="70"/>
      <c r="S32" s="71"/>
      <c r="T32" s="43"/>
      <c r="U32" s="44"/>
      <c r="V32" s="44"/>
      <c r="W32" s="44"/>
      <c r="X32" s="44"/>
      <c r="Y32" s="44"/>
      <c r="Z32" s="45"/>
    </row>
    <row r="33" spans="1:26" ht="18" customHeight="1" x14ac:dyDescent="0.35">
      <c r="A33" s="6"/>
      <c r="B33" s="114"/>
      <c r="C33" s="115"/>
      <c r="D33" s="115"/>
      <c r="E33" s="115"/>
      <c r="F33" s="116"/>
      <c r="G33" s="137"/>
      <c r="H33" s="10"/>
      <c r="I33" s="10"/>
      <c r="J33" s="22"/>
      <c r="K33" s="107"/>
      <c r="L33" s="108"/>
      <c r="M33" s="109"/>
      <c r="N33" s="10" t="s">
        <v>40</v>
      </c>
      <c r="O33" s="10"/>
      <c r="P33" s="10"/>
      <c r="Q33" s="72"/>
      <c r="R33" s="73"/>
      <c r="S33" s="74"/>
      <c r="T33" s="47"/>
      <c r="Z33" s="6"/>
    </row>
    <row r="34" spans="1:26" ht="18" customHeight="1" x14ac:dyDescent="0.35">
      <c r="A34" s="6"/>
      <c r="B34" s="114"/>
      <c r="C34" s="115"/>
      <c r="D34" s="115"/>
      <c r="E34" s="115"/>
      <c r="F34" s="116"/>
      <c r="G34" s="48"/>
      <c r="H34" s="18" t="s">
        <v>41</v>
      </c>
      <c r="I34" s="18"/>
      <c r="J34" s="18"/>
      <c r="K34" s="18"/>
      <c r="L34" s="18"/>
      <c r="M34" s="18"/>
      <c r="N34" s="18"/>
      <c r="O34" s="18"/>
      <c r="P34" s="18"/>
      <c r="Q34" s="72"/>
      <c r="R34" s="73"/>
      <c r="S34" s="74"/>
      <c r="T34" s="46"/>
      <c r="U34" s="10"/>
      <c r="V34" s="10"/>
      <c r="W34" s="10"/>
      <c r="X34" s="10"/>
      <c r="Y34" s="10"/>
      <c r="Z34" s="11"/>
    </row>
    <row r="35" spans="1:26" ht="18" customHeight="1" x14ac:dyDescent="0.35">
      <c r="A35" s="6"/>
      <c r="B35" s="114"/>
      <c r="C35" s="115"/>
      <c r="D35" s="115"/>
      <c r="E35" s="115"/>
      <c r="F35" s="116"/>
      <c r="G35" s="48"/>
      <c r="H35" s="18" t="s">
        <v>44</v>
      </c>
      <c r="I35" s="18"/>
      <c r="J35" s="18"/>
      <c r="K35" s="18"/>
      <c r="L35" s="18"/>
      <c r="M35" s="18"/>
      <c r="N35" s="18"/>
      <c r="O35" s="18"/>
      <c r="P35" s="18"/>
      <c r="Q35" s="72"/>
      <c r="R35" s="73"/>
      <c r="S35" s="74"/>
      <c r="T35" s="53"/>
      <c r="U35" s="18" t="s">
        <v>94</v>
      </c>
      <c r="V35" s="17"/>
      <c r="W35" s="56" t="s">
        <v>96</v>
      </c>
      <c r="X35" s="56"/>
      <c r="Y35" s="56"/>
      <c r="Z35" s="57"/>
    </row>
    <row r="36" spans="1:26" ht="18" customHeight="1" x14ac:dyDescent="0.35">
      <c r="A36" s="6"/>
      <c r="B36" s="114"/>
      <c r="C36" s="115"/>
      <c r="D36" s="115"/>
      <c r="E36" s="115"/>
      <c r="F36" s="116"/>
      <c r="G36" s="48"/>
      <c r="H36" s="18" t="s">
        <v>45</v>
      </c>
      <c r="I36" s="18"/>
      <c r="J36" s="18"/>
      <c r="K36" s="18"/>
      <c r="L36" s="18"/>
      <c r="M36" s="18"/>
      <c r="N36" s="18"/>
      <c r="O36" s="18"/>
      <c r="P36" s="18"/>
      <c r="Q36" s="72"/>
      <c r="R36" s="73"/>
      <c r="S36" s="74"/>
      <c r="T36" s="53"/>
      <c r="U36" s="18" t="s">
        <v>95</v>
      </c>
      <c r="V36" s="17"/>
      <c r="W36" s="58"/>
      <c r="X36" s="58"/>
      <c r="Y36" s="58"/>
      <c r="Z36" s="59"/>
    </row>
    <row r="37" spans="1:26" x14ac:dyDescent="0.35">
      <c r="A37" s="6"/>
      <c r="B37" s="114"/>
      <c r="C37" s="115"/>
      <c r="D37" s="115"/>
      <c r="E37" s="115"/>
      <c r="F37" s="116"/>
      <c r="G37" s="48"/>
      <c r="H37" s="21" t="s">
        <v>42</v>
      </c>
      <c r="I37" s="10"/>
      <c r="J37" s="10"/>
      <c r="K37" s="10"/>
      <c r="L37" s="10"/>
      <c r="M37" s="10"/>
      <c r="N37" s="10"/>
      <c r="O37" s="10"/>
      <c r="P37" s="10"/>
      <c r="Q37" s="72"/>
      <c r="R37" s="73"/>
      <c r="S37" s="74"/>
      <c r="T37" s="53"/>
      <c r="U37" s="18" t="s">
        <v>97</v>
      </c>
      <c r="V37" s="18"/>
      <c r="W37" s="18"/>
      <c r="X37" s="18"/>
      <c r="Y37" s="18"/>
      <c r="Z37" s="19"/>
    </row>
    <row r="38" spans="1:26" x14ac:dyDescent="0.35">
      <c r="A38" s="6"/>
      <c r="B38" s="114"/>
      <c r="C38" s="115"/>
      <c r="D38" s="115"/>
      <c r="E38" s="115"/>
      <c r="F38" s="116"/>
      <c r="G38" s="51"/>
      <c r="H38" s="110" t="s">
        <v>108</v>
      </c>
      <c r="I38" s="110"/>
      <c r="J38" s="110"/>
      <c r="K38" s="110"/>
      <c r="L38" s="110"/>
      <c r="M38" s="110"/>
      <c r="N38" s="110"/>
      <c r="O38" s="110"/>
      <c r="P38" s="110"/>
      <c r="Q38" s="72"/>
      <c r="R38" s="73"/>
      <c r="S38" s="74"/>
      <c r="Z38" s="6"/>
    </row>
    <row r="39" spans="1:26" x14ac:dyDescent="0.35">
      <c r="A39" s="6"/>
      <c r="B39" s="114"/>
      <c r="C39" s="115"/>
      <c r="D39" s="115"/>
      <c r="E39" s="115"/>
      <c r="F39" s="116"/>
      <c r="H39" s="97" t="s">
        <v>43</v>
      </c>
      <c r="I39" s="97"/>
      <c r="J39" s="97"/>
      <c r="K39" s="97"/>
      <c r="L39" s="97"/>
      <c r="M39" s="97"/>
      <c r="N39" s="97"/>
      <c r="O39" s="97"/>
      <c r="P39" s="97"/>
      <c r="Q39" s="72"/>
      <c r="R39" s="73"/>
      <c r="S39" s="74"/>
      <c r="Z39" s="6"/>
    </row>
    <row r="40" spans="1:26" x14ac:dyDescent="0.35">
      <c r="A40" s="6"/>
      <c r="B40" s="117"/>
      <c r="C40" s="118"/>
      <c r="D40" s="118"/>
      <c r="E40" s="118"/>
      <c r="F40" s="119"/>
      <c r="G40" s="4"/>
      <c r="H40" s="4"/>
      <c r="I40" s="4"/>
      <c r="J40" s="4"/>
      <c r="K40" s="4"/>
      <c r="L40" s="4"/>
      <c r="M40" s="4"/>
      <c r="N40" s="4"/>
      <c r="O40" s="4"/>
      <c r="P40" s="4"/>
      <c r="Q40" s="75"/>
      <c r="R40" s="76"/>
      <c r="S40" s="77"/>
      <c r="T40" s="4"/>
      <c r="U40" s="4"/>
      <c r="V40" s="4"/>
      <c r="W40" s="4"/>
      <c r="X40" s="4"/>
      <c r="Y40" s="4"/>
      <c r="Z40" s="9"/>
    </row>
    <row r="41" spans="1:26" ht="16.149999999999999" customHeight="1" x14ac:dyDescent="0.35">
      <c r="A41" s="6"/>
      <c r="B41" s="61" t="s">
        <v>46</v>
      </c>
      <c r="C41" s="62"/>
      <c r="D41" s="62"/>
      <c r="E41" s="62"/>
      <c r="F41" s="63"/>
      <c r="G41" s="67" t="s">
        <v>103</v>
      </c>
      <c r="H41" s="67"/>
      <c r="I41" s="67"/>
      <c r="J41" s="67"/>
      <c r="K41" s="67"/>
      <c r="L41" s="67"/>
      <c r="M41" s="67"/>
      <c r="N41" s="67"/>
      <c r="O41" s="67"/>
      <c r="P41" s="67"/>
      <c r="Q41" s="67"/>
      <c r="R41" s="67"/>
      <c r="S41" s="67"/>
      <c r="T41" s="67"/>
      <c r="U41" s="67"/>
      <c r="V41" s="67"/>
      <c r="W41" s="67"/>
      <c r="X41" s="67"/>
      <c r="Y41" s="67"/>
      <c r="Z41" s="6"/>
    </row>
    <row r="42" spans="1:26" ht="17.25" thickBot="1" x14ac:dyDescent="0.4">
      <c r="A42" s="6"/>
      <c r="B42" s="64"/>
      <c r="C42" s="65"/>
      <c r="D42" s="65"/>
      <c r="E42" s="65"/>
      <c r="F42" s="66"/>
      <c r="G42" s="68"/>
      <c r="H42" s="68"/>
      <c r="I42" s="68"/>
      <c r="J42" s="68"/>
      <c r="K42" s="68"/>
      <c r="L42" s="68"/>
      <c r="M42" s="68"/>
      <c r="N42" s="68"/>
      <c r="O42" s="68"/>
      <c r="P42" s="68"/>
      <c r="Q42" s="68"/>
      <c r="R42" s="68"/>
      <c r="S42" s="68"/>
      <c r="T42" s="68"/>
      <c r="U42" s="68"/>
      <c r="V42" s="68"/>
      <c r="W42" s="68"/>
      <c r="X42" s="68"/>
      <c r="Y42" s="68"/>
      <c r="Z42" s="7"/>
    </row>
    <row r="43" spans="1:26" x14ac:dyDescent="0.35">
      <c r="B43" s="38" t="s">
        <v>47</v>
      </c>
    </row>
  </sheetData>
  <mergeCells count="33">
    <mergeCell ref="G32:G33"/>
    <mergeCell ref="H39:P39"/>
    <mergeCell ref="A5:A21"/>
    <mergeCell ref="B17:F19"/>
    <mergeCell ref="B20:F21"/>
    <mergeCell ref="G21:I21"/>
    <mergeCell ref="B22:F28"/>
    <mergeCell ref="U5:Z5"/>
    <mergeCell ref="Q6:V6"/>
    <mergeCell ref="Q9:Z9"/>
    <mergeCell ref="Q7:Z8"/>
    <mergeCell ref="T10:Z10"/>
    <mergeCell ref="Q22:U28"/>
    <mergeCell ref="V23:X24"/>
    <mergeCell ref="T11:Z11"/>
    <mergeCell ref="T12:Z12"/>
    <mergeCell ref="T13:Z13"/>
    <mergeCell ref="W35:Z36"/>
    <mergeCell ref="R5:T5"/>
    <mergeCell ref="B41:F42"/>
    <mergeCell ref="G41:Y42"/>
    <mergeCell ref="Q32:S40"/>
    <mergeCell ref="G17:Z19"/>
    <mergeCell ref="G29:Z31"/>
    <mergeCell ref="J20:Z20"/>
    <mergeCell ref="J21:Z21"/>
    <mergeCell ref="V26:X27"/>
    <mergeCell ref="X28:Y28"/>
    <mergeCell ref="B29:F31"/>
    <mergeCell ref="K33:M33"/>
    <mergeCell ref="H38:P38"/>
    <mergeCell ref="B32:F40"/>
    <mergeCell ref="G20:I20"/>
  </mergeCells>
  <phoneticPr fontId="1"/>
  <dataValidations count="1">
    <dataValidation type="list" allowBlank="1" showInputMessage="1" showErrorMessage="1" sqref="G22:G26 G32:G38 T35:T37" xr:uid="{00000000-0002-0000-0000-000000000000}">
      <formula1>"〇,　,"</formula1>
    </dataValidation>
  </dataValidations>
  <pageMargins left="0.7" right="0.7" top="0.75" bottom="0.75" header="0.3" footer="0.3"/>
  <pageSetup paperSize="9" scale="9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F43"/>
  <sheetViews>
    <sheetView tabSelected="1" view="pageBreakPreview" zoomScale="130" zoomScaleNormal="130" zoomScaleSheetLayoutView="130" workbookViewId="0">
      <selection activeCell="L5" sqref="L5"/>
    </sheetView>
  </sheetViews>
  <sheetFormatPr defaultColWidth="3" defaultRowHeight="16.5" x14ac:dyDescent="0.35"/>
  <cols>
    <col min="1" max="16384" width="3" style="2"/>
  </cols>
  <sheetData>
    <row r="2" spans="1:32" x14ac:dyDescent="0.35">
      <c r="F2" s="38" t="s">
        <v>0</v>
      </c>
    </row>
    <row r="3" spans="1:32" ht="17.25" thickBot="1" x14ac:dyDescent="0.4">
      <c r="B3" s="5" t="s">
        <v>1</v>
      </c>
      <c r="C3" s="5"/>
      <c r="D3" s="5"/>
      <c r="E3" s="5"/>
      <c r="F3" s="5"/>
      <c r="G3" s="5"/>
      <c r="H3" s="5"/>
      <c r="I3" s="5"/>
      <c r="J3" s="5"/>
      <c r="K3" s="5"/>
      <c r="L3" s="5"/>
      <c r="M3" s="5"/>
      <c r="N3" s="5"/>
      <c r="O3" s="5"/>
      <c r="P3" s="5"/>
      <c r="Q3" s="5"/>
      <c r="R3" s="5"/>
      <c r="S3" s="5"/>
      <c r="T3" s="5"/>
      <c r="U3" s="5"/>
      <c r="V3" s="5"/>
      <c r="W3" s="5"/>
      <c r="X3" s="5"/>
      <c r="Y3" s="5"/>
      <c r="Z3" s="5"/>
    </row>
    <row r="4" spans="1:32" x14ac:dyDescent="0.35">
      <c r="A4" s="6"/>
      <c r="Z4" s="6"/>
    </row>
    <row r="5" spans="1:32" x14ac:dyDescent="0.35">
      <c r="A5" s="138" t="s">
        <v>93</v>
      </c>
      <c r="R5" s="2" t="s">
        <v>2</v>
      </c>
      <c r="U5" s="129">
        <v>45383</v>
      </c>
      <c r="V5" s="129"/>
      <c r="W5" s="129"/>
      <c r="X5" s="129"/>
      <c r="Y5" s="129"/>
      <c r="Z5" s="130"/>
    </row>
    <row r="6" spans="1:32" x14ac:dyDescent="0.35">
      <c r="A6" s="138"/>
      <c r="P6" s="2" t="s">
        <v>3</v>
      </c>
      <c r="Q6" s="131" t="s">
        <v>106</v>
      </c>
      <c r="R6" s="131"/>
      <c r="S6" s="131"/>
      <c r="T6" s="131"/>
      <c r="U6" s="131"/>
      <c r="V6" s="131"/>
      <c r="Z6" s="6"/>
    </row>
    <row r="7" spans="1:32" x14ac:dyDescent="0.35">
      <c r="A7" s="138"/>
      <c r="O7" s="2" t="s">
        <v>4</v>
      </c>
      <c r="Q7" s="81" t="s">
        <v>105</v>
      </c>
      <c r="R7" s="81"/>
      <c r="S7" s="81"/>
      <c r="T7" s="81"/>
      <c r="U7" s="81"/>
      <c r="V7" s="81"/>
      <c r="W7" s="81"/>
      <c r="X7" s="81"/>
      <c r="Y7" s="81"/>
      <c r="Z7" s="82"/>
      <c r="AF7" s="3"/>
    </row>
    <row r="8" spans="1:32" x14ac:dyDescent="0.35">
      <c r="A8" s="138"/>
      <c r="Q8" s="81"/>
      <c r="R8" s="81"/>
      <c r="S8" s="81"/>
      <c r="T8" s="81"/>
      <c r="U8" s="81"/>
      <c r="V8" s="81"/>
      <c r="W8" s="81"/>
      <c r="X8" s="81"/>
      <c r="Y8" s="81"/>
      <c r="Z8" s="82"/>
    </row>
    <row r="9" spans="1:32" x14ac:dyDescent="0.35">
      <c r="A9" s="138"/>
      <c r="L9" s="2" t="s">
        <v>6</v>
      </c>
      <c r="O9" s="2" t="s">
        <v>5</v>
      </c>
      <c r="Q9" s="127" t="s">
        <v>98</v>
      </c>
      <c r="R9" s="127"/>
      <c r="S9" s="127"/>
      <c r="T9" s="127"/>
      <c r="U9" s="127"/>
      <c r="V9" s="127"/>
      <c r="W9" s="127"/>
      <c r="X9" s="127"/>
      <c r="Y9" s="127"/>
      <c r="Z9" s="128"/>
    </row>
    <row r="10" spans="1:32" x14ac:dyDescent="0.35">
      <c r="A10" s="138"/>
      <c r="O10" s="2" t="s">
        <v>8</v>
      </c>
      <c r="Q10" s="2" t="s">
        <v>30</v>
      </c>
      <c r="R10" s="2" t="s">
        <v>9</v>
      </c>
      <c r="T10" s="127" t="s">
        <v>99</v>
      </c>
      <c r="U10" s="127"/>
      <c r="V10" s="127"/>
      <c r="W10" s="127"/>
      <c r="X10" s="127"/>
      <c r="Y10" s="127"/>
      <c r="Z10" s="128"/>
    </row>
    <row r="11" spans="1:32" x14ac:dyDescent="0.35">
      <c r="A11" s="138"/>
      <c r="R11" s="2" t="s">
        <v>10</v>
      </c>
      <c r="T11" s="127" t="s">
        <v>78</v>
      </c>
      <c r="U11" s="127"/>
      <c r="V11" s="127"/>
      <c r="W11" s="127"/>
      <c r="X11" s="127"/>
      <c r="Y11" s="127"/>
      <c r="Z11" s="128"/>
    </row>
    <row r="12" spans="1:32" x14ac:dyDescent="0.35">
      <c r="A12" s="138"/>
      <c r="P12" s="2" t="s">
        <v>11</v>
      </c>
      <c r="T12" s="127" t="s">
        <v>79</v>
      </c>
      <c r="U12" s="127"/>
      <c r="V12" s="127"/>
      <c r="W12" s="127"/>
      <c r="X12" s="127"/>
      <c r="Y12" s="127"/>
      <c r="Z12" s="128"/>
    </row>
    <row r="13" spans="1:32" x14ac:dyDescent="0.35">
      <c r="A13" s="138"/>
      <c r="P13" s="2" t="s">
        <v>12</v>
      </c>
      <c r="R13" s="2" t="s">
        <v>13</v>
      </c>
      <c r="T13" s="127" t="s">
        <v>80</v>
      </c>
      <c r="U13" s="127"/>
      <c r="V13" s="127"/>
      <c r="W13" s="127"/>
      <c r="X13" s="127"/>
      <c r="Y13" s="127"/>
      <c r="Z13" s="128"/>
    </row>
    <row r="14" spans="1:32" x14ac:dyDescent="0.35">
      <c r="A14" s="138"/>
      <c r="Z14" s="6"/>
    </row>
    <row r="15" spans="1:32" x14ac:dyDescent="0.35">
      <c r="A15" s="138"/>
      <c r="B15" s="2" t="s">
        <v>15</v>
      </c>
      <c r="Z15" s="6"/>
    </row>
    <row r="16" spans="1:32" x14ac:dyDescent="0.35">
      <c r="A16" s="138"/>
      <c r="B16" s="8" t="s">
        <v>16</v>
      </c>
      <c r="C16" s="4"/>
      <c r="D16" s="4"/>
      <c r="E16" s="4"/>
      <c r="F16" s="4"/>
      <c r="G16" s="4"/>
      <c r="H16" s="4"/>
      <c r="I16" s="4"/>
      <c r="J16" s="4"/>
      <c r="K16" s="4"/>
      <c r="L16" s="4"/>
      <c r="M16" s="4"/>
      <c r="N16" s="4"/>
      <c r="O16" s="4"/>
      <c r="P16" s="4"/>
      <c r="Q16" s="4"/>
      <c r="R16" s="4"/>
      <c r="S16" s="4"/>
      <c r="T16" s="4"/>
      <c r="U16" s="4"/>
      <c r="V16" s="4"/>
      <c r="W16" s="4"/>
      <c r="X16" s="4"/>
      <c r="Y16" s="4"/>
      <c r="Z16" s="9"/>
    </row>
    <row r="17" spans="1:26" x14ac:dyDescent="0.35">
      <c r="A17" s="138"/>
      <c r="B17" s="139" t="s">
        <v>14</v>
      </c>
      <c r="C17" s="140"/>
      <c r="D17" s="140"/>
      <c r="E17" s="140"/>
      <c r="F17" s="141"/>
      <c r="G17" s="78" t="s">
        <v>113</v>
      </c>
      <c r="H17" s="79"/>
      <c r="I17" s="79"/>
      <c r="J17" s="79"/>
      <c r="K17" s="79"/>
      <c r="L17" s="79"/>
      <c r="M17" s="79"/>
      <c r="N17" s="79"/>
      <c r="O17" s="79"/>
      <c r="P17" s="79"/>
      <c r="Q17" s="79"/>
      <c r="R17" s="79"/>
      <c r="S17" s="79"/>
      <c r="T17" s="79"/>
      <c r="U17" s="79"/>
      <c r="V17" s="79"/>
      <c r="W17" s="79"/>
      <c r="X17" s="79"/>
      <c r="Y17" s="79"/>
      <c r="Z17" s="80"/>
    </row>
    <row r="18" spans="1:26" x14ac:dyDescent="0.35">
      <c r="A18" s="138"/>
      <c r="B18" s="142"/>
      <c r="C18" s="131"/>
      <c r="D18" s="131"/>
      <c r="E18" s="131"/>
      <c r="F18" s="143"/>
      <c r="G18" s="81"/>
      <c r="H18" s="81"/>
      <c r="I18" s="81"/>
      <c r="J18" s="81"/>
      <c r="K18" s="81"/>
      <c r="L18" s="81"/>
      <c r="M18" s="81"/>
      <c r="N18" s="81"/>
      <c r="O18" s="81"/>
      <c r="P18" s="81"/>
      <c r="Q18" s="81"/>
      <c r="R18" s="81"/>
      <c r="S18" s="81"/>
      <c r="T18" s="81"/>
      <c r="U18" s="81"/>
      <c r="V18" s="81"/>
      <c r="W18" s="81"/>
      <c r="X18" s="81"/>
      <c r="Y18" s="81"/>
      <c r="Z18" s="82"/>
    </row>
    <row r="19" spans="1:26" x14ac:dyDescent="0.35">
      <c r="A19" s="138"/>
      <c r="B19" s="144"/>
      <c r="C19" s="145"/>
      <c r="D19" s="145"/>
      <c r="E19" s="145"/>
      <c r="F19" s="146"/>
      <c r="G19" s="83"/>
      <c r="H19" s="83"/>
      <c r="I19" s="83"/>
      <c r="J19" s="83"/>
      <c r="K19" s="83"/>
      <c r="L19" s="83"/>
      <c r="M19" s="83"/>
      <c r="N19" s="83"/>
      <c r="O19" s="83"/>
      <c r="P19" s="83"/>
      <c r="Q19" s="83"/>
      <c r="R19" s="83"/>
      <c r="S19" s="83"/>
      <c r="T19" s="83"/>
      <c r="U19" s="83"/>
      <c r="V19" s="83"/>
      <c r="W19" s="83"/>
      <c r="X19" s="83"/>
      <c r="Y19" s="83"/>
      <c r="Z19" s="84"/>
    </row>
    <row r="20" spans="1:26" x14ac:dyDescent="0.35">
      <c r="A20" s="138"/>
      <c r="B20" s="147" t="s">
        <v>17</v>
      </c>
      <c r="C20" s="121"/>
      <c r="D20" s="121"/>
      <c r="E20" s="121"/>
      <c r="F20" s="122"/>
      <c r="G20" s="91" t="s">
        <v>18</v>
      </c>
      <c r="H20" s="91"/>
      <c r="I20" s="91"/>
      <c r="J20" s="91" t="s">
        <v>81</v>
      </c>
      <c r="K20" s="91"/>
      <c r="L20" s="91"/>
      <c r="M20" s="91"/>
      <c r="N20" s="91"/>
      <c r="O20" s="91"/>
      <c r="P20" s="91"/>
      <c r="Q20" s="91"/>
      <c r="R20" s="91"/>
      <c r="S20" s="91"/>
      <c r="T20" s="91"/>
      <c r="U20" s="91"/>
      <c r="V20" s="91"/>
      <c r="W20" s="91"/>
      <c r="X20" s="91"/>
      <c r="Y20" s="91"/>
      <c r="Z20" s="92"/>
    </row>
    <row r="21" spans="1:26" x14ac:dyDescent="0.35">
      <c r="A21" s="138"/>
      <c r="B21" s="148"/>
      <c r="C21" s="125"/>
      <c r="D21" s="125"/>
      <c r="E21" s="125"/>
      <c r="F21" s="126"/>
      <c r="G21" s="149" t="s">
        <v>19</v>
      </c>
      <c r="H21" s="149"/>
      <c r="I21" s="149"/>
      <c r="J21" s="91" t="s">
        <v>82</v>
      </c>
      <c r="K21" s="91"/>
      <c r="L21" s="91"/>
      <c r="M21" s="91"/>
      <c r="N21" s="91"/>
      <c r="O21" s="91"/>
      <c r="P21" s="91"/>
      <c r="Q21" s="91"/>
      <c r="R21" s="91"/>
      <c r="S21" s="91"/>
      <c r="T21" s="91"/>
      <c r="U21" s="91"/>
      <c r="V21" s="91"/>
      <c r="W21" s="91"/>
      <c r="X21" s="91"/>
      <c r="Y21" s="91"/>
      <c r="Z21" s="92"/>
    </row>
    <row r="22" spans="1:26" x14ac:dyDescent="0.35">
      <c r="A22" s="6"/>
      <c r="B22" s="150" t="s">
        <v>32</v>
      </c>
      <c r="C22" s="151"/>
      <c r="D22" s="151"/>
      <c r="E22" s="151"/>
      <c r="F22" s="152"/>
      <c r="G22" s="54" t="s">
        <v>110</v>
      </c>
      <c r="H22" s="16" t="s">
        <v>20</v>
      </c>
      <c r="I22" s="16" t="s">
        <v>21</v>
      </c>
      <c r="J22" s="16"/>
      <c r="K22" s="16"/>
      <c r="L22" s="16"/>
      <c r="M22" s="16"/>
      <c r="N22" s="16"/>
      <c r="O22" s="16"/>
      <c r="P22" s="16"/>
      <c r="Q22" s="121" t="s">
        <v>33</v>
      </c>
      <c r="R22" s="121"/>
      <c r="S22" s="121"/>
      <c r="T22" s="121"/>
      <c r="U22" s="122"/>
      <c r="V22" s="2" t="s">
        <v>34</v>
      </c>
      <c r="Z22" s="6"/>
    </row>
    <row r="23" spans="1:26" x14ac:dyDescent="0.35">
      <c r="A23" s="6"/>
      <c r="B23" s="153"/>
      <c r="C23" s="154"/>
      <c r="D23" s="154"/>
      <c r="E23" s="154"/>
      <c r="F23" s="155"/>
      <c r="G23" s="55" t="s">
        <v>110</v>
      </c>
      <c r="H23" s="18" t="s">
        <v>22</v>
      </c>
      <c r="I23" s="18" t="s">
        <v>24</v>
      </c>
      <c r="J23" s="18"/>
      <c r="K23" s="18"/>
      <c r="L23" s="18"/>
      <c r="M23" s="18"/>
      <c r="N23" s="18"/>
      <c r="O23" s="18"/>
      <c r="P23" s="18"/>
      <c r="Q23" s="123"/>
      <c r="R23" s="123"/>
      <c r="S23" s="123"/>
      <c r="T23" s="123"/>
      <c r="U23" s="124"/>
      <c r="V23" s="97">
        <v>50</v>
      </c>
      <c r="W23" s="97"/>
      <c r="X23" s="97"/>
      <c r="Z23" s="6"/>
    </row>
    <row r="24" spans="1:26" x14ac:dyDescent="0.35">
      <c r="A24" s="6"/>
      <c r="B24" s="153"/>
      <c r="C24" s="154"/>
      <c r="D24" s="154"/>
      <c r="E24" s="154"/>
      <c r="F24" s="155"/>
      <c r="G24" s="55"/>
      <c r="H24" s="18" t="s">
        <v>23</v>
      </c>
      <c r="I24" s="18" t="s">
        <v>26</v>
      </c>
      <c r="J24" s="18"/>
      <c r="K24" s="18"/>
      <c r="L24" s="18"/>
      <c r="M24" s="18"/>
      <c r="N24" s="18"/>
      <c r="O24" s="18"/>
      <c r="P24" s="18"/>
      <c r="Q24" s="123"/>
      <c r="R24" s="123"/>
      <c r="S24" s="123"/>
      <c r="T24" s="123"/>
      <c r="U24" s="124"/>
      <c r="V24" s="99"/>
      <c r="W24" s="99"/>
      <c r="X24" s="99"/>
      <c r="Y24" s="10" t="s">
        <v>35</v>
      </c>
      <c r="Z24" s="11"/>
    </row>
    <row r="25" spans="1:26" x14ac:dyDescent="0.35">
      <c r="A25" s="6"/>
      <c r="B25" s="153"/>
      <c r="C25" s="154"/>
      <c r="D25" s="154"/>
      <c r="E25" s="154"/>
      <c r="F25" s="155"/>
      <c r="G25" s="55"/>
      <c r="H25" s="18" t="s">
        <v>25</v>
      </c>
      <c r="I25" s="18" t="s">
        <v>28</v>
      </c>
      <c r="J25" s="18"/>
      <c r="K25" s="18"/>
      <c r="L25" s="18"/>
      <c r="M25" s="18"/>
      <c r="N25" s="18"/>
      <c r="O25" s="18"/>
      <c r="P25" s="18"/>
      <c r="Q25" s="123"/>
      <c r="R25" s="123"/>
      <c r="S25" s="123"/>
      <c r="T25" s="123"/>
      <c r="U25" s="124"/>
      <c r="V25" s="2" t="s">
        <v>36</v>
      </c>
      <c r="Z25" s="6"/>
    </row>
    <row r="26" spans="1:26" x14ac:dyDescent="0.35">
      <c r="A26" s="6"/>
      <c r="B26" s="153"/>
      <c r="C26" s="154"/>
      <c r="D26" s="154"/>
      <c r="E26" s="154"/>
      <c r="F26" s="155"/>
      <c r="G26" s="55"/>
      <c r="H26" s="18" t="s">
        <v>27</v>
      </c>
      <c r="I26" s="18" t="s">
        <v>29</v>
      </c>
      <c r="J26" s="18"/>
      <c r="K26" s="18"/>
      <c r="L26" s="18"/>
      <c r="M26" s="18"/>
      <c r="N26" s="18"/>
      <c r="O26" s="18"/>
      <c r="P26" s="18"/>
      <c r="Q26" s="123"/>
      <c r="R26" s="123"/>
      <c r="S26" s="123"/>
      <c r="T26" s="123"/>
      <c r="U26" s="124"/>
      <c r="V26" s="96">
        <v>1000</v>
      </c>
      <c r="W26" s="97"/>
      <c r="X26" s="97"/>
      <c r="Z26" s="6"/>
    </row>
    <row r="27" spans="1:26" x14ac:dyDescent="0.35">
      <c r="A27" s="6"/>
      <c r="B27" s="153"/>
      <c r="C27" s="154"/>
      <c r="D27" s="154"/>
      <c r="E27" s="154"/>
      <c r="F27" s="155"/>
      <c r="G27" s="2" t="s">
        <v>111</v>
      </c>
      <c r="Q27" s="123"/>
      <c r="R27" s="123"/>
      <c r="S27" s="123"/>
      <c r="T27" s="123"/>
      <c r="U27" s="124"/>
      <c r="V27" s="98"/>
      <c r="W27" s="99"/>
      <c r="X27" s="99"/>
      <c r="Y27" s="10" t="s">
        <v>35</v>
      </c>
      <c r="Z27" s="11"/>
    </row>
    <row r="28" spans="1:26" x14ac:dyDescent="0.35">
      <c r="A28" s="6"/>
      <c r="B28" s="156"/>
      <c r="C28" s="157"/>
      <c r="D28" s="157"/>
      <c r="E28" s="157"/>
      <c r="F28" s="158"/>
      <c r="G28" s="4" t="s">
        <v>30</v>
      </c>
      <c r="H28" s="4" t="s">
        <v>31</v>
      </c>
      <c r="I28" s="4"/>
      <c r="J28" s="4"/>
      <c r="K28" s="4"/>
      <c r="L28" s="4"/>
      <c r="M28" s="4"/>
      <c r="N28" s="4"/>
      <c r="O28" s="4"/>
      <c r="P28" s="4"/>
      <c r="Q28" s="125"/>
      <c r="R28" s="125"/>
      <c r="S28" s="125"/>
      <c r="T28" s="125"/>
      <c r="U28" s="126"/>
      <c r="V28" s="4" t="s">
        <v>83</v>
      </c>
      <c r="W28" s="4"/>
      <c r="X28" s="100">
        <f>IF(COUNTA(V23,V26)&gt;0,V23+V26,"")</f>
        <v>1050</v>
      </c>
      <c r="Y28" s="100"/>
      <c r="Z28" s="9" t="s">
        <v>35</v>
      </c>
    </row>
    <row r="29" spans="1:26" x14ac:dyDescent="0.35">
      <c r="A29" s="6"/>
      <c r="B29" s="61" t="s">
        <v>37</v>
      </c>
      <c r="C29" s="101"/>
      <c r="D29" s="101"/>
      <c r="E29" s="101"/>
      <c r="F29" s="102"/>
      <c r="G29" s="85" t="s">
        <v>112</v>
      </c>
      <c r="H29" s="85"/>
      <c r="I29" s="85"/>
      <c r="J29" s="85"/>
      <c r="K29" s="85"/>
      <c r="L29" s="85"/>
      <c r="M29" s="85"/>
      <c r="N29" s="85"/>
      <c r="O29" s="85"/>
      <c r="P29" s="85"/>
      <c r="Q29" s="85"/>
      <c r="R29" s="85"/>
      <c r="S29" s="85"/>
      <c r="T29" s="85"/>
      <c r="U29" s="85"/>
      <c r="V29" s="85"/>
      <c r="W29" s="85"/>
      <c r="X29" s="85"/>
      <c r="Y29" s="85"/>
      <c r="Z29" s="86"/>
    </row>
    <row r="30" spans="1:26" x14ac:dyDescent="0.35">
      <c r="A30" s="6"/>
      <c r="B30" s="103"/>
      <c r="C30" s="97"/>
      <c r="D30" s="97"/>
      <c r="E30" s="97"/>
      <c r="F30" s="104"/>
      <c r="G30" s="87"/>
      <c r="H30" s="87"/>
      <c r="I30" s="87"/>
      <c r="J30" s="87"/>
      <c r="K30" s="87"/>
      <c r="L30" s="87"/>
      <c r="M30" s="87"/>
      <c r="N30" s="87"/>
      <c r="O30" s="87"/>
      <c r="P30" s="87"/>
      <c r="Q30" s="87"/>
      <c r="R30" s="87"/>
      <c r="S30" s="87"/>
      <c r="T30" s="87"/>
      <c r="U30" s="87"/>
      <c r="V30" s="87"/>
      <c r="W30" s="87"/>
      <c r="X30" s="87"/>
      <c r="Y30" s="87"/>
      <c r="Z30" s="88"/>
    </row>
    <row r="31" spans="1:26" x14ac:dyDescent="0.35">
      <c r="A31" s="6"/>
      <c r="B31" s="105"/>
      <c r="C31" s="100"/>
      <c r="D31" s="100"/>
      <c r="E31" s="100"/>
      <c r="F31" s="106"/>
      <c r="G31" s="89"/>
      <c r="H31" s="89"/>
      <c r="I31" s="89"/>
      <c r="J31" s="89"/>
      <c r="K31" s="89"/>
      <c r="L31" s="89"/>
      <c r="M31" s="89"/>
      <c r="N31" s="89"/>
      <c r="O31" s="89"/>
      <c r="P31" s="89"/>
      <c r="Q31" s="89"/>
      <c r="R31" s="89"/>
      <c r="S31" s="89"/>
      <c r="T31" s="89"/>
      <c r="U31" s="89"/>
      <c r="V31" s="89"/>
      <c r="W31" s="89"/>
      <c r="X31" s="89"/>
      <c r="Y31" s="89"/>
      <c r="Z31" s="90"/>
    </row>
    <row r="32" spans="1:26" ht="16.149999999999999" customHeight="1" x14ac:dyDescent="0.35">
      <c r="A32" s="6"/>
      <c r="B32" s="111" t="s">
        <v>107</v>
      </c>
      <c r="C32" s="112"/>
      <c r="D32" s="112"/>
      <c r="E32" s="112"/>
      <c r="F32" s="113"/>
      <c r="G32" s="136" t="s">
        <v>110</v>
      </c>
      <c r="H32" s="2" t="s">
        <v>39</v>
      </c>
      <c r="K32" s="16"/>
      <c r="L32" s="16"/>
      <c r="M32" s="16"/>
      <c r="Q32" s="69" t="s">
        <v>38</v>
      </c>
      <c r="R32" s="70"/>
      <c r="S32" s="71"/>
      <c r="T32" s="43"/>
      <c r="U32" s="44"/>
      <c r="V32" s="44"/>
      <c r="W32" s="44"/>
      <c r="X32" s="44"/>
      <c r="Y32" s="44"/>
      <c r="Z32" s="45"/>
    </row>
    <row r="33" spans="1:26" ht="18" customHeight="1" x14ac:dyDescent="0.35">
      <c r="A33" s="6"/>
      <c r="B33" s="114"/>
      <c r="C33" s="115"/>
      <c r="D33" s="115"/>
      <c r="E33" s="115"/>
      <c r="F33" s="116"/>
      <c r="G33" s="137"/>
      <c r="H33" s="10"/>
      <c r="I33" s="10"/>
      <c r="J33" s="22"/>
      <c r="K33" s="107">
        <v>4</v>
      </c>
      <c r="L33" s="108"/>
      <c r="M33" s="109"/>
      <c r="N33" s="10" t="s">
        <v>40</v>
      </c>
      <c r="O33" s="10"/>
      <c r="P33" s="10"/>
      <c r="Q33" s="72"/>
      <c r="R33" s="73"/>
      <c r="S33" s="74"/>
      <c r="T33" s="47"/>
      <c r="Z33" s="6"/>
    </row>
    <row r="34" spans="1:26" x14ac:dyDescent="0.35">
      <c r="A34" s="6"/>
      <c r="B34" s="114"/>
      <c r="C34" s="115"/>
      <c r="D34" s="115"/>
      <c r="E34" s="115"/>
      <c r="F34" s="116"/>
      <c r="G34" s="55" t="s">
        <v>110</v>
      </c>
      <c r="H34" s="18" t="s">
        <v>41</v>
      </c>
      <c r="I34" s="18"/>
      <c r="J34" s="18"/>
      <c r="K34" s="18"/>
      <c r="L34" s="18"/>
      <c r="M34" s="18"/>
      <c r="N34" s="18"/>
      <c r="O34" s="18"/>
      <c r="P34" s="18"/>
      <c r="Q34" s="72"/>
      <c r="R34" s="73"/>
      <c r="S34" s="74"/>
      <c r="T34" s="46"/>
      <c r="U34" s="10"/>
      <c r="V34" s="10"/>
      <c r="W34" s="10"/>
      <c r="X34" s="10"/>
      <c r="Y34" s="10"/>
      <c r="Z34" s="11"/>
    </row>
    <row r="35" spans="1:26" x14ac:dyDescent="0.35">
      <c r="A35" s="6"/>
      <c r="B35" s="114"/>
      <c r="C35" s="115"/>
      <c r="D35" s="115"/>
      <c r="E35" s="115"/>
      <c r="F35" s="116"/>
      <c r="G35" s="17"/>
      <c r="H35" s="18" t="s">
        <v>44</v>
      </c>
      <c r="I35" s="18"/>
      <c r="J35" s="18"/>
      <c r="K35" s="18"/>
      <c r="L35" s="18"/>
      <c r="M35" s="18"/>
      <c r="N35" s="18"/>
      <c r="O35" s="18"/>
      <c r="P35" s="18"/>
      <c r="Q35" s="72"/>
      <c r="R35" s="73"/>
      <c r="S35" s="74"/>
      <c r="T35" s="20" t="s">
        <v>110</v>
      </c>
      <c r="U35" s="18" t="s">
        <v>94</v>
      </c>
      <c r="V35" s="17"/>
      <c r="W35" s="56" t="s">
        <v>96</v>
      </c>
      <c r="X35" s="56"/>
      <c r="Y35" s="56"/>
      <c r="Z35" s="57"/>
    </row>
    <row r="36" spans="1:26" x14ac:dyDescent="0.35">
      <c r="A36" s="6"/>
      <c r="B36" s="114"/>
      <c r="C36" s="115"/>
      <c r="D36" s="115"/>
      <c r="E36" s="115"/>
      <c r="F36" s="116"/>
      <c r="G36" s="17"/>
      <c r="H36" s="18" t="s">
        <v>45</v>
      </c>
      <c r="I36" s="18"/>
      <c r="J36" s="18"/>
      <c r="K36" s="18"/>
      <c r="L36" s="18"/>
      <c r="M36" s="18"/>
      <c r="N36" s="18"/>
      <c r="O36" s="18"/>
      <c r="P36" s="18"/>
      <c r="Q36" s="72"/>
      <c r="R36" s="73"/>
      <c r="S36" s="74"/>
      <c r="T36" s="20"/>
      <c r="U36" s="18" t="s">
        <v>95</v>
      </c>
      <c r="V36" s="17"/>
      <c r="W36" s="58"/>
      <c r="X36" s="58"/>
      <c r="Y36" s="58"/>
      <c r="Z36" s="59"/>
    </row>
    <row r="37" spans="1:26" x14ac:dyDescent="0.35">
      <c r="A37" s="6"/>
      <c r="B37" s="114"/>
      <c r="C37" s="115"/>
      <c r="D37" s="115"/>
      <c r="E37" s="115"/>
      <c r="F37" s="116"/>
      <c r="G37" s="17"/>
      <c r="H37" s="21" t="s">
        <v>42</v>
      </c>
      <c r="I37" s="10"/>
      <c r="J37" s="10"/>
      <c r="K37" s="10"/>
      <c r="L37" s="10"/>
      <c r="M37" s="10"/>
      <c r="N37" s="10"/>
      <c r="O37" s="10"/>
      <c r="P37" s="10"/>
      <c r="Q37" s="72"/>
      <c r="R37" s="73"/>
      <c r="S37" s="74"/>
      <c r="T37" s="20"/>
      <c r="U37" s="18" t="s">
        <v>97</v>
      </c>
      <c r="V37" s="18"/>
      <c r="W37" s="18"/>
      <c r="X37" s="18"/>
      <c r="Y37" s="18"/>
      <c r="Z37" s="19"/>
    </row>
    <row r="38" spans="1:26" x14ac:dyDescent="0.35">
      <c r="A38" s="6"/>
      <c r="B38" s="114"/>
      <c r="C38" s="115"/>
      <c r="D38" s="115"/>
      <c r="E38" s="115"/>
      <c r="F38" s="116"/>
      <c r="G38" s="20"/>
      <c r="H38" s="110" t="s">
        <v>108</v>
      </c>
      <c r="I38" s="110"/>
      <c r="J38" s="110"/>
      <c r="K38" s="110"/>
      <c r="L38" s="110"/>
      <c r="M38" s="110"/>
      <c r="N38" s="110"/>
      <c r="O38" s="110"/>
      <c r="P38" s="110"/>
      <c r="Q38" s="72"/>
      <c r="R38" s="73"/>
      <c r="S38" s="74"/>
      <c r="Z38" s="6"/>
    </row>
    <row r="39" spans="1:26" x14ac:dyDescent="0.35">
      <c r="A39" s="6"/>
      <c r="B39" s="114"/>
      <c r="C39" s="115"/>
      <c r="D39" s="115"/>
      <c r="E39" s="115"/>
      <c r="F39" s="116"/>
      <c r="H39" s="97" t="s">
        <v>43</v>
      </c>
      <c r="I39" s="97"/>
      <c r="J39" s="97"/>
      <c r="K39" s="97"/>
      <c r="L39" s="97"/>
      <c r="M39" s="97"/>
      <c r="N39" s="97"/>
      <c r="O39" s="97"/>
      <c r="P39" s="97"/>
      <c r="Q39" s="72"/>
      <c r="R39" s="73"/>
      <c r="S39" s="74"/>
      <c r="Z39" s="6"/>
    </row>
    <row r="40" spans="1:26" x14ac:dyDescent="0.35">
      <c r="A40" s="6"/>
      <c r="B40" s="117"/>
      <c r="C40" s="118"/>
      <c r="D40" s="118"/>
      <c r="E40" s="118"/>
      <c r="F40" s="119"/>
      <c r="G40" s="4"/>
      <c r="H40" s="4"/>
      <c r="I40" s="4"/>
      <c r="J40" s="4"/>
      <c r="K40" s="4"/>
      <c r="L40" s="4"/>
      <c r="M40" s="4"/>
      <c r="N40" s="4"/>
      <c r="O40" s="4"/>
      <c r="P40" s="4"/>
      <c r="Q40" s="75"/>
      <c r="R40" s="76"/>
      <c r="S40" s="77"/>
      <c r="T40" s="4"/>
      <c r="U40" s="4"/>
      <c r="V40" s="4"/>
      <c r="W40" s="4"/>
      <c r="X40" s="4"/>
      <c r="Y40" s="4"/>
      <c r="Z40" s="9"/>
    </row>
    <row r="41" spans="1:26" ht="16.149999999999999" customHeight="1" x14ac:dyDescent="0.35">
      <c r="A41" s="6"/>
      <c r="B41" s="61" t="s">
        <v>46</v>
      </c>
      <c r="C41" s="62"/>
      <c r="D41" s="62"/>
      <c r="E41" s="62"/>
      <c r="F41" s="63"/>
      <c r="G41" s="67" t="s">
        <v>92</v>
      </c>
      <c r="H41" s="67"/>
      <c r="I41" s="67"/>
      <c r="J41" s="67"/>
      <c r="K41" s="67"/>
      <c r="L41" s="67"/>
      <c r="M41" s="67"/>
      <c r="N41" s="67"/>
      <c r="O41" s="67"/>
      <c r="P41" s="67"/>
      <c r="Q41" s="67"/>
      <c r="R41" s="67"/>
      <c r="S41" s="67"/>
      <c r="T41" s="67"/>
      <c r="U41" s="67"/>
      <c r="V41" s="67"/>
      <c r="W41" s="67"/>
      <c r="X41" s="67"/>
      <c r="Y41" s="67"/>
      <c r="Z41" s="6"/>
    </row>
    <row r="42" spans="1:26" ht="17.25" thickBot="1" x14ac:dyDescent="0.4">
      <c r="A42" s="6"/>
      <c r="B42" s="64"/>
      <c r="C42" s="65"/>
      <c r="D42" s="65"/>
      <c r="E42" s="65"/>
      <c r="F42" s="66"/>
      <c r="G42" s="68"/>
      <c r="H42" s="68"/>
      <c r="I42" s="68"/>
      <c r="J42" s="68"/>
      <c r="K42" s="68"/>
      <c r="L42" s="68"/>
      <c r="M42" s="68"/>
      <c r="N42" s="68"/>
      <c r="O42" s="68"/>
      <c r="P42" s="68"/>
      <c r="Q42" s="68"/>
      <c r="R42" s="68"/>
      <c r="S42" s="68"/>
      <c r="T42" s="68"/>
      <c r="U42" s="68"/>
      <c r="V42" s="68"/>
      <c r="W42" s="68"/>
      <c r="X42" s="68"/>
      <c r="Y42" s="68"/>
      <c r="Z42" s="7"/>
    </row>
    <row r="43" spans="1:26" x14ac:dyDescent="0.35">
      <c r="B43" s="2" t="s">
        <v>47</v>
      </c>
    </row>
  </sheetData>
  <mergeCells count="32">
    <mergeCell ref="A5:A21"/>
    <mergeCell ref="T11:Z11"/>
    <mergeCell ref="U5:Z5"/>
    <mergeCell ref="Q6:V6"/>
    <mergeCell ref="Q7:Z8"/>
    <mergeCell ref="Q9:Z9"/>
    <mergeCell ref="T10:Z10"/>
    <mergeCell ref="B29:F31"/>
    <mergeCell ref="G29:Z31"/>
    <mergeCell ref="T12:Z12"/>
    <mergeCell ref="T13:Z13"/>
    <mergeCell ref="B17:F19"/>
    <mergeCell ref="G17:Z19"/>
    <mergeCell ref="B20:F21"/>
    <mergeCell ref="G20:I20"/>
    <mergeCell ref="J20:Z20"/>
    <mergeCell ref="G21:I21"/>
    <mergeCell ref="J21:Z21"/>
    <mergeCell ref="B22:F28"/>
    <mergeCell ref="Q22:U28"/>
    <mergeCell ref="V23:X24"/>
    <mergeCell ref="V26:X27"/>
    <mergeCell ref="X28:Y28"/>
    <mergeCell ref="B32:F40"/>
    <mergeCell ref="Q32:S40"/>
    <mergeCell ref="K33:M33"/>
    <mergeCell ref="H38:P38"/>
    <mergeCell ref="B41:F42"/>
    <mergeCell ref="G41:Y42"/>
    <mergeCell ref="W35:Z36"/>
    <mergeCell ref="H39:P39"/>
    <mergeCell ref="G32:G33"/>
  </mergeCells>
  <phoneticPr fontId="1"/>
  <pageMargins left="0.7" right="0.7" top="0.75" bottom="0.75" header="0.3" footer="0.3"/>
  <pageSetup paperSize="9" scale="99" orientation="portrait" horizontalDpi="200" verticalDpi="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0"/>
  <sheetViews>
    <sheetView zoomScale="85" zoomScaleNormal="85" workbookViewId="0">
      <selection activeCell="D11" sqref="D11"/>
    </sheetView>
  </sheetViews>
  <sheetFormatPr defaultColWidth="8.75" defaultRowHeight="18.75" x14ac:dyDescent="0.4"/>
  <cols>
    <col min="1" max="2" width="8.75" style="1"/>
    <col min="3" max="3" width="10.875" style="1" customWidth="1"/>
    <col min="4" max="6" width="8.75" style="1"/>
    <col min="7" max="7" width="8.75" style="24"/>
    <col min="8" max="9" width="8.75" style="1"/>
    <col min="10" max="10" width="20.75" style="1" customWidth="1"/>
    <col min="11" max="16384" width="8.75" style="1"/>
  </cols>
  <sheetData>
    <row r="1" spans="1:32" s="15" customFormat="1" ht="13.5" customHeight="1" x14ac:dyDescent="0.4">
      <c r="A1" s="12" t="s">
        <v>48</v>
      </c>
      <c r="B1" s="12" t="s">
        <v>49</v>
      </c>
      <c r="C1" s="12" t="s">
        <v>50</v>
      </c>
      <c r="D1" s="12" t="s">
        <v>51</v>
      </c>
      <c r="E1" s="12" t="s">
        <v>52</v>
      </c>
      <c r="F1" s="12" t="s">
        <v>7</v>
      </c>
      <c r="G1" s="23" t="s">
        <v>53</v>
      </c>
      <c r="H1" s="13" t="s">
        <v>54</v>
      </c>
      <c r="I1" s="12" t="s">
        <v>55</v>
      </c>
      <c r="J1" s="12" t="s">
        <v>56</v>
      </c>
      <c r="K1" s="12" t="s">
        <v>57</v>
      </c>
      <c r="L1" s="12" t="s">
        <v>58</v>
      </c>
      <c r="M1" s="13" t="s">
        <v>59</v>
      </c>
      <c r="N1" s="13" t="s">
        <v>60</v>
      </c>
      <c r="O1" s="12" t="s">
        <v>61</v>
      </c>
      <c r="P1" s="12" t="s">
        <v>62</v>
      </c>
      <c r="Q1" s="12" t="s">
        <v>63</v>
      </c>
      <c r="R1" s="12" t="s">
        <v>64</v>
      </c>
      <c r="S1" s="12" t="s">
        <v>65</v>
      </c>
      <c r="T1" s="12" t="s">
        <v>66</v>
      </c>
      <c r="U1" s="12" t="s">
        <v>67</v>
      </c>
      <c r="V1" s="12" t="s">
        <v>68</v>
      </c>
      <c r="W1" s="12" t="s">
        <v>69</v>
      </c>
      <c r="X1" s="12" t="s">
        <v>70</v>
      </c>
      <c r="Y1" s="12"/>
      <c r="Z1" s="14" t="s">
        <v>71</v>
      </c>
      <c r="AA1" s="14" t="s">
        <v>72</v>
      </c>
      <c r="AB1" s="34" t="s">
        <v>73</v>
      </c>
      <c r="AC1" s="34" t="s">
        <v>74</v>
      </c>
      <c r="AD1" s="15" t="s">
        <v>75</v>
      </c>
      <c r="AE1" s="15" t="s">
        <v>76</v>
      </c>
      <c r="AF1" s="15" t="s">
        <v>77</v>
      </c>
    </row>
    <row r="2" spans="1:32" x14ac:dyDescent="0.4">
      <c r="A2" s="35"/>
      <c r="B2" s="35"/>
      <c r="C2" s="35">
        <f>許可申請書!Q7</f>
        <v>0</v>
      </c>
      <c r="D2" s="35">
        <f>許可申請書!Q9</f>
        <v>0</v>
      </c>
      <c r="E2" s="35">
        <f>許可申請書!T10</f>
        <v>0</v>
      </c>
      <c r="F2" s="35">
        <f>許可申請書!T11</f>
        <v>0</v>
      </c>
      <c r="G2" s="36">
        <f>許可申請書!U5</f>
        <v>0</v>
      </c>
      <c r="H2" s="35"/>
      <c r="I2" s="35" t="s">
        <v>84</v>
      </c>
      <c r="J2" s="35">
        <f>許可申請書!G17</f>
        <v>0</v>
      </c>
      <c r="K2" s="35" t="str">
        <f>許可申請書!J20</f>
        <v>令和　年　月　日(　)　時　分～令和　年　月　日(　)　時　分まで　</v>
      </c>
      <c r="L2" s="35">
        <f>許可申請書!G29</f>
        <v>0</v>
      </c>
      <c r="M2" s="35" t="str">
        <f>許可申請書!X28</f>
        <v/>
      </c>
      <c r="N2" s="35">
        <f>D10</f>
        <v>0</v>
      </c>
      <c r="O2" s="35">
        <f>D10*40</f>
        <v>0</v>
      </c>
      <c r="P2" s="31" t="s">
        <v>87</v>
      </c>
      <c r="Q2" s="31" t="s">
        <v>88</v>
      </c>
      <c r="R2" s="31" t="s">
        <v>89</v>
      </c>
      <c r="S2" s="32" t="s">
        <v>90</v>
      </c>
      <c r="T2" s="33" t="s">
        <v>91</v>
      </c>
      <c r="U2" s="35"/>
      <c r="V2" s="35"/>
      <c r="W2" s="35"/>
      <c r="X2" s="35"/>
      <c r="Y2" s="35"/>
      <c r="Z2" s="35"/>
      <c r="AA2" s="35"/>
      <c r="AB2" s="35"/>
      <c r="AC2" s="35"/>
      <c r="AD2" s="35"/>
      <c r="AE2" s="35"/>
      <c r="AF2" s="35"/>
    </row>
    <row r="5" spans="1:32" x14ac:dyDescent="0.4">
      <c r="C5" s="25"/>
      <c r="D5" s="26" t="s">
        <v>85</v>
      </c>
    </row>
    <row r="6" spans="1:32" x14ac:dyDescent="0.4">
      <c r="C6" s="27" t="s">
        <v>20</v>
      </c>
      <c r="D6" s="28" t="str">
        <f>IF(許可申請書!G22="〇",253,"")</f>
        <v/>
      </c>
    </row>
    <row r="7" spans="1:32" x14ac:dyDescent="0.4">
      <c r="C7" s="27" t="s">
        <v>22</v>
      </c>
      <c r="D7" s="28" t="str">
        <f>IF(許可申請書!G23="〇",727,"")</f>
        <v/>
      </c>
    </row>
    <row r="8" spans="1:32" x14ac:dyDescent="0.4">
      <c r="C8" s="27" t="s">
        <v>23</v>
      </c>
      <c r="D8" s="28" t="str">
        <f>IF(許可申請書!G24="〇",700,"")</f>
        <v/>
      </c>
    </row>
    <row r="9" spans="1:32" x14ac:dyDescent="0.4">
      <c r="C9" s="27" t="s">
        <v>27</v>
      </c>
      <c r="D9" s="28" t="str">
        <f>IF(許可申請書!G26="〇",2580,"")</f>
        <v/>
      </c>
    </row>
    <row r="10" spans="1:32" x14ac:dyDescent="0.4">
      <c r="C10" s="29" t="s">
        <v>86</v>
      </c>
      <c r="D10" s="30">
        <f>IF(D9="",SUM(D6:D9),1680)</f>
        <v>0</v>
      </c>
    </row>
  </sheetData>
  <phoneticPr fontId="1"/>
  <conditionalFormatting sqref="I1">
    <cfRule type="cellIs" dxfId="0" priority="1" stopIfTrue="1" operator="equal">
      <formula>"青垣公園多目的広場"</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許可申請書</vt:lpstr>
      <vt:lpstr>許可申請書 (記入例)</vt:lpstr>
      <vt:lpstr>作業用</vt:lpstr>
      <vt:lpstr>許可申請書!Print_Area</vt:lpstr>
      <vt:lpstr>'許可申請書 (記入例)'!Print_Area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2024-02-14T01:06:14Z</dcterms:modified>
</cp:coreProperties>
</file>